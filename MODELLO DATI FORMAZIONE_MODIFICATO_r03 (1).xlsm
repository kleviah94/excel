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drawings/drawing6.xml" ContentType="application/vnd.openxmlformats-officedocument.drawing+xml"/>
  <Override PartName="/xl/slicers/slicer3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9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Questa_cartella_di_lavor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bri\Desktop\"/>
    </mc:Choice>
  </mc:AlternateContent>
  <xr:revisionPtr revIDLastSave="0" documentId="13_ncr:1_{E0F3486C-F5FE-48DB-94E9-6576B27751D9}" xr6:coauthVersionLast="47" xr6:coauthVersionMax="47" xr10:uidLastSave="{00000000-0000-0000-0000-000000000000}"/>
  <bookViews>
    <workbookView xWindow="-120" yWindow="-120" windowWidth="29040" windowHeight="15720" xr2:uid="{F3980B61-1BEE-424F-BF37-EDD425C62558}"/>
  </bookViews>
  <sheets>
    <sheet name="HOME" sheetId="11" r:id="rId1"/>
    <sheet name="INSERIMENTO" sheetId="4" r:id="rId2"/>
    <sheet name="RICERCA" sheetId="9" r:id="rId3"/>
    <sheet name="PROSPETTO CORSI" sheetId="10" r:id="rId4"/>
    <sheet name="ANALISI" sheetId="7" r:id="rId5"/>
    <sheet name="DASHBOARD" sheetId="8" r:id="rId6"/>
    <sheet name="PRINCIPALE" sheetId="1" r:id="rId7"/>
    <sheet name="DOCENTI" sheetId="2" r:id="rId8"/>
    <sheet name="SEDI" sheetId="3" r:id="rId9"/>
    <sheet name="MATERIE" sheetId="5" r:id="rId10"/>
  </sheets>
  <definedNames>
    <definedName name="_xlnm._FilterDatabase" localSheetId="9" hidden="1">MATERIE!$A$1:$A$32</definedName>
    <definedName name="_xlnm._FilterDatabase" localSheetId="6" hidden="1">PRINCIPALE!$A$1:$A$1</definedName>
    <definedName name="_xlcn.WorksheetConnection_Cartel1CORSI_RECUPERO" hidden="1">CORSI_RECUPERO[]</definedName>
    <definedName name="_xlcn.WorksheetConnection_Cartel1DOCENTI" hidden="1">DOCENTI[]</definedName>
    <definedName name="_xlcn.WorksheetConnection_Cartel1SEDI" hidden="1">SEDI[]</definedName>
    <definedName name="CITTA__RESIDENZA">DOCENTI!$C$2:$C$1048576</definedName>
    <definedName name="DATA_DI_NASCITA">DOCENTI!$B$2:$B$1048576</definedName>
    <definedName name="DatiEsterni_1" localSheetId="6" hidden="1">PRINCIPALE!$B$1:$I$31</definedName>
    <definedName name="DatiEsterni_2" localSheetId="7" hidden="1">DOCENTI!$A$1:$D$16</definedName>
    <definedName name="DatiEsterni_3" localSheetId="8" hidden="1">SEDI!$A$1:$C$5</definedName>
    <definedName name="FiltroDati_DATA_INIZIO">#N/A</definedName>
    <definedName name="FiltroDati_DOCENTE1">#N/A</definedName>
    <definedName name="FiltroDati_DOCENTE2">#N/A</definedName>
    <definedName name="FiltroDati_DURATA__H">#N/A</definedName>
    <definedName name="FiltroDati_Materia">#N/A</definedName>
    <definedName name="FiltroDati_MATERIA1">#N/A</definedName>
    <definedName name="FiltroDati_SEDE1">#N/A</definedName>
    <definedName name="FiltroDati_SEDE2">#N/A</definedName>
    <definedName name="ID_CORSO">PRINCIPALE!$A$2:$A$1048576</definedName>
    <definedName name="MATERIA">DOCENTI!$D$2:$D$1048576</definedName>
    <definedName name="Materie">MATERIE!$A$3:$A$1048576</definedName>
    <definedName name="NOME_E_COGNOME">DOCENTI!$A$2:$A$1048576</definedName>
  </definedNames>
  <calcPr calcId="191029"/>
  <pivotCaches>
    <pivotCache cacheId="218" r:id="rId11"/>
    <pivotCache cacheId="260" r:id="rId12"/>
    <pivotCache cacheId="252" r:id="rId13"/>
    <pivotCache cacheId="255" r:id="rId14"/>
    <pivotCache cacheId="258" r:id="rId15"/>
  </pivotCaches>
  <extLst>
    <ext xmlns:x14="http://schemas.microsoft.com/office/spreadsheetml/2009/9/main" uri="{876F7934-8845-4945-9796-88D515C7AA90}">
      <x14:pivotCaches>
        <pivotCache cacheId="192" r:id="rId16"/>
        <pivotCache cacheId="217" r:id="rId17"/>
      </x14:pivotCaches>
    </ext>
    <ext xmlns:x14="http://schemas.microsoft.com/office/spreadsheetml/2009/9/main" uri="{BBE1A952-AA13-448e-AADC-164F8A28A991}">
      <x14:slicerCaches>
        <x14:slicerCache r:id="rId18"/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221" r:id="rId26"/>
        <pivotCache cacheId="263" r:id="rId27"/>
        <pivotCache cacheId="266" r:id="rId28"/>
        <pivotCache cacheId="269" r:id="rId29"/>
        <pivotCache cacheId="272" r:id="rId30"/>
      </x15:pivotCaches>
    </ext>
    <ext xmlns:x15="http://schemas.microsoft.com/office/spreadsheetml/2010/11/main" uri="{983426D0-5260-488c-9760-48F4B6AC55F4}">
      <x15:pivotTableReferences>
        <x15:pivotTableReference r:id="rId31"/>
        <x15:pivotTableReference r:id="rId32"/>
        <x15:pivotTableReference r:id="rId33"/>
        <x15:pivotTableReference r:id="rId34"/>
        <x15:pivotTableReference r:id="rId35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EDI" name="SEDI" connection="WorksheetConnection_Cartel1!SEDI"/>
          <x15:modelTable id="DOCENTI" name="DOCENTI" connection="WorksheetConnection_Cartel1!DOCENTI"/>
          <x15:modelTable id="CORSI_RECUPERO" name="CORSI_RECUPERO" connection="WorksheetConnection_Cartel1!CORSI_RECUPERO"/>
        </x15:modelTables>
        <x15:modelRelationships>
          <x15:modelRelationship fromTable="CORSI_RECUPERO" fromColumn="DOCENTE" toTable="DOCENTI" toColumn="NOME E COGNOME"/>
          <x15:modelRelationship fromTable="CORSI_RECUPERO" fromColumn="SEDE" toTable="SEDI" toColumn="SED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DOCENTI" columnName="DATA DI NASCITA" columnId="DATA DI NASCITA">
                <x16:calculatedTimeColumn columnName="DATA DI NASCITA (anno)" columnId="DATA DI NASCITA (anno)" contentType="years" isSelected="1"/>
                <x16:calculatedTimeColumn columnName="DATA DI NASCITA (trimestre)" columnId="DATA DI NASCITA (trimestre)" contentType="quarters" isSelected="1"/>
                <x16:calculatedTimeColumn columnName="DATA DI NASCITA (indice mese)" columnId="DATA DI NASCITA (indice mese)" contentType="monthsindex" isSelected="1"/>
                <x16:calculatedTimeColumn columnName="DATA DI NASCITA (mese)" columnId="DATA DI NASCITA (mese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9" l="1"/>
  <c r="H16" i="9"/>
  <c r="M17" i="9"/>
  <c r="M15" i="9"/>
  <c r="M14" i="9"/>
  <c r="M12" i="9"/>
  <c r="H14" i="9"/>
  <c r="H13" i="9"/>
  <c r="A31" i="1" l="1"/>
  <c r="A30" i="1" s="1"/>
  <c r="A29" i="1" s="1"/>
  <c r="A28" i="1" s="1"/>
  <c r="A27" i="1" s="1"/>
  <c r="A26" i="1" s="1"/>
  <c r="A25" i="1" s="1"/>
  <c r="A24" i="1" s="1"/>
  <c r="A23" i="1" s="1"/>
  <c r="A22" i="1" s="1"/>
  <c r="A21" i="1" s="1"/>
  <c r="A20" i="1" s="1"/>
  <c r="A19" i="1" s="1"/>
  <c r="A18" i="1" s="1"/>
  <c r="A17" i="1" s="1"/>
  <c r="A16" i="1" s="1"/>
  <c r="A15" i="1" s="1"/>
  <c r="A14" i="1" s="1"/>
  <c r="A13" i="1" s="1"/>
  <c r="A12" i="1" s="1"/>
  <c r="A11" i="1" s="1"/>
  <c r="A10" i="1" s="1"/>
  <c r="A9" i="1" s="1"/>
  <c r="A8" i="1" s="1"/>
  <c r="A7" i="1" s="1"/>
  <c r="A6" i="1" s="1"/>
  <c r="A5" i="1" s="1"/>
  <c r="A4" i="1" s="1"/>
  <c r="A3" i="1" s="1"/>
  <c r="A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0767216-EAEB-47EF-87D2-8D7F0C8B90BD}" keepAlive="1" name="Query - CORSI RECUPERO" description="Connessione alla query 'CORSI RECUPERO' nella cartella di lavoro." type="5" refreshedVersion="8" background="1" saveData="1">
    <dbPr connection="Provider=Microsoft.Mashup.OleDb.1;Data Source=$Workbook$;Location=&quot;CORSI RECUPERO&quot;;Extended Properties=&quot;&quot;" command="SELECT * FROM [CORSI RECUPERO]"/>
  </connection>
  <connection id="2" xr16:uid="{F2C2BDFB-A89C-49CB-80A7-1F88C551A3A8}" keepAlive="1" name="Query - DOCENTI" description="Connessione alla query 'DOCENTI' nella cartella di lavoro." type="5" refreshedVersion="8" background="1" saveData="1">
    <dbPr connection="Provider=Microsoft.Mashup.OleDb.1;Data Source=$Workbook$;Location=DOCENTI;Extended Properties=&quot;&quot;" command="SELECT * FROM [DOCENTI]"/>
  </connection>
  <connection id="3" xr16:uid="{DF26FD4E-9FBE-47CA-860E-1136A032482E}" keepAlive="1" name="Query - SEDI" description="Connessione alla query 'SEDI' nella cartella di lavoro." type="5" refreshedVersion="8" background="1" saveData="1">
    <dbPr connection="Provider=Microsoft.Mashup.OleDb.1;Data Source=$Workbook$;Location=SEDI;Extended Properties=&quot;&quot;" command="SELECT * FROM [SEDI]"/>
  </connection>
  <connection id="4" xr16:uid="{628D4F0A-062B-45C9-9FC1-3CEF66B1B18E}" keepAlive="1" name="ThisWorkbookDataModel" description="Modello di dati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8AE0D793-7D4D-4A64-8B8F-6EAA76A129AF}" name="WorksheetConnection_Cartel1!CORSI_RECUPERO" type="102" refreshedVersion="8" minRefreshableVersion="5">
    <extLst>
      <ext xmlns:x15="http://schemas.microsoft.com/office/spreadsheetml/2010/11/main" uri="{DE250136-89BD-433C-8126-D09CA5730AF9}">
        <x15:connection id="CORSI_RECUPERO">
          <x15:rangePr sourceName="_xlcn.WorksheetConnection_Cartel1CORSI_RECUPERO"/>
        </x15:connection>
      </ext>
    </extLst>
  </connection>
  <connection id="6" xr16:uid="{672AA12F-0A2E-474B-A14C-CEA306880795}" name="WorksheetConnection_Cartel1!DOCENTI" type="102" refreshedVersion="8" minRefreshableVersion="5">
    <extLst>
      <ext xmlns:x15="http://schemas.microsoft.com/office/spreadsheetml/2010/11/main" uri="{DE250136-89BD-433C-8126-D09CA5730AF9}">
        <x15:connection id="DOCENTI">
          <x15:rangePr sourceName="_xlcn.WorksheetConnection_Cartel1DOCENTI"/>
        </x15:connection>
      </ext>
    </extLst>
  </connection>
  <connection id="7" xr16:uid="{230AE368-6746-4A4B-A885-B81392B0C07E}" name="WorksheetConnection_Cartel1!SEDI" type="102" refreshedVersion="8" minRefreshableVersion="5">
    <extLst>
      <ext xmlns:x15="http://schemas.microsoft.com/office/spreadsheetml/2010/11/main" uri="{DE250136-89BD-433C-8126-D09CA5730AF9}">
        <x15:connection id="SEDI">
          <x15:rangePr sourceName="_xlcn.WorksheetConnection_Cartel1SEDI"/>
        </x15:connection>
      </ext>
    </extLst>
  </connection>
</connections>
</file>

<file path=xl/sharedStrings.xml><?xml version="1.0" encoding="utf-8"?>
<sst xmlns="http://schemas.openxmlformats.org/spreadsheetml/2006/main" count="337" uniqueCount="110">
  <si>
    <t>TITOLO CORSO</t>
  </si>
  <si>
    <t>DATA INIZIO</t>
  </si>
  <si>
    <t>DATA FINE</t>
  </si>
  <si>
    <t>DURATA (H)</t>
  </si>
  <si>
    <t>PREZZO</t>
  </si>
  <si>
    <t>DOCENTE</t>
  </si>
  <si>
    <t>SEDE</t>
  </si>
  <si>
    <t>ITALIANO 1</t>
  </si>
  <si>
    <t>Fove Anna</t>
  </si>
  <si>
    <t>Bologna</t>
  </si>
  <si>
    <t>ITALIANO 2</t>
  </si>
  <si>
    <t>Maccio Capatonda</t>
  </si>
  <si>
    <t>Napoli</t>
  </si>
  <si>
    <t>ITALIANO 3</t>
  </si>
  <si>
    <t>Manno Assunta</t>
  </si>
  <si>
    <t>Bari</t>
  </si>
  <si>
    <t>ITALIANO 4</t>
  </si>
  <si>
    <t>ITALIANO 5</t>
  </si>
  <si>
    <t>ITALIANO 6</t>
  </si>
  <si>
    <t>Online</t>
  </si>
  <si>
    <t>MATEMATICA 1</t>
  </si>
  <si>
    <t>Feve Andrea</t>
  </si>
  <si>
    <t>MATEMATICA 2</t>
  </si>
  <si>
    <t>Santa Pazienza</t>
  </si>
  <si>
    <t>MATEMATICA 3</t>
  </si>
  <si>
    <t>Franco Forte</t>
  </si>
  <si>
    <t>MATEMATICA 4</t>
  </si>
  <si>
    <t>MATEMATICA 5</t>
  </si>
  <si>
    <t>MATEMATICA 6</t>
  </si>
  <si>
    <t>FISICA 1</t>
  </si>
  <si>
    <t>Pippo Longhi</t>
  </si>
  <si>
    <t>FISICA 2</t>
  </si>
  <si>
    <t>Giulia Gorgini</t>
  </si>
  <si>
    <t>FISICA 3</t>
  </si>
  <si>
    <t>Concetto Strano</t>
  </si>
  <si>
    <t>FISICA 4</t>
  </si>
  <si>
    <t>FISICA 5</t>
  </si>
  <si>
    <t>FISICA 6</t>
  </si>
  <si>
    <t>LATINO 1</t>
  </si>
  <si>
    <t>Pluto Marini</t>
  </si>
  <si>
    <t>LATINO 2</t>
  </si>
  <si>
    <t>Rosa Fiocco</t>
  </si>
  <si>
    <t>LATINO 3</t>
  </si>
  <si>
    <t>Ennio Annio</t>
  </si>
  <si>
    <t>LATINO 4</t>
  </si>
  <si>
    <t>LATINO 5</t>
  </si>
  <si>
    <t>LATINO 6</t>
  </si>
  <si>
    <t>INGLESE 1</t>
  </si>
  <si>
    <t>Emiliana Lasagna</t>
  </si>
  <si>
    <t>INGLESE 2</t>
  </si>
  <si>
    <t>Lindo Ferretti</t>
  </si>
  <si>
    <t>INGLESE 3</t>
  </si>
  <si>
    <t>Perla Madonna</t>
  </si>
  <si>
    <t>INGLESE 4</t>
  </si>
  <si>
    <t>INGLESE 5</t>
  </si>
  <si>
    <t>INGLESE 6</t>
  </si>
  <si>
    <t>NOME E COGNOME</t>
  </si>
  <si>
    <t>DATA DI NASCITA</t>
  </si>
  <si>
    <t>CITTA' RESIDENZA</t>
  </si>
  <si>
    <t>MATERIA</t>
  </si>
  <si>
    <t>Bitonto</t>
  </si>
  <si>
    <t>San Lazzaro di Savena</t>
  </si>
  <si>
    <t>MATEMATICA</t>
  </si>
  <si>
    <t>Frattamaggiore</t>
  </si>
  <si>
    <t>Casalecchio di Reno</t>
  </si>
  <si>
    <t>FISICA</t>
  </si>
  <si>
    <t>Valenzano</t>
  </si>
  <si>
    <t>Castel Maggiore</t>
  </si>
  <si>
    <t>FILOSOFIA</t>
  </si>
  <si>
    <t>Casoria</t>
  </si>
  <si>
    <t>Melito di Napoli</t>
  </si>
  <si>
    <t>Modugno</t>
  </si>
  <si>
    <t>INDIRIZZO</t>
  </si>
  <si>
    <t>CAPIENZA AULA</t>
  </si>
  <si>
    <t>Via Zamboni 33</t>
  </si>
  <si>
    <t>Corso Umberto I 40</t>
  </si>
  <si>
    <t>Piazza Umberto I 1</t>
  </si>
  <si>
    <t>-</t>
  </si>
  <si>
    <t>Corso</t>
  </si>
  <si>
    <t>Titolo corso</t>
  </si>
  <si>
    <t xml:space="preserve">Data inizio </t>
  </si>
  <si>
    <t>Data Fine</t>
  </si>
  <si>
    <t>Durata [h]</t>
  </si>
  <si>
    <t>Prezzo [€]</t>
  </si>
  <si>
    <t>Docente</t>
  </si>
  <si>
    <t>Sede</t>
  </si>
  <si>
    <t>Materia</t>
  </si>
  <si>
    <t>ID CORSO</t>
  </si>
  <si>
    <t>Materie</t>
  </si>
  <si>
    <t>LETTERATURA</t>
  </si>
  <si>
    <t>LINGUE</t>
  </si>
  <si>
    <t>Nome e Cognome</t>
  </si>
  <si>
    <t>Data nascita</t>
  </si>
  <si>
    <t>Residenza</t>
  </si>
  <si>
    <t>Indirizzo</t>
  </si>
  <si>
    <t>Capienza aula</t>
  </si>
  <si>
    <t>Totale complessivo</t>
  </si>
  <si>
    <t>Data di nascita</t>
  </si>
  <si>
    <t>Città di residenza</t>
  </si>
  <si>
    <t>Durata (H)</t>
  </si>
  <si>
    <t>Prezzo</t>
  </si>
  <si>
    <t>Luogo e titolo corso</t>
  </si>
  <si>
    <t>MEDIA PREZZI</t>
  </si>
  <si>
    <t>DOCENTI</t>
  </si>
  <si>
    <t>TOTALE ORE (H)</t>
  </si>
  <si>
    <t>SEDI</t>
  </si>
  <si>
    <t>MATERIE\SEDI</t>
  </si>
  <si>
    <t>N° DOCENTI</t>
  </si>
  <si>
    <t>TOTALE PREZZI</t>
  </si>
  <si>
    <t>Powered by Data Trasversal S.p.A.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</si>
</sst>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#,##0.00\ &quot;€&quot;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venir Next LT Pro"/>
      <family val="2"/>
    </font>
    <font>
      <sz val="11"/>
      <color theme="1"/>
      <name val="Avenir Next LT Pro"/>
      <family val="2"/>
    </font>
    <font>
      <b/>
      <sz val="12"/>
      <color theme="1"/>
      <name val="Avenir Next LT Pro"/>
      <family val="2"/>
    </font>
    <font>
      <b/>
      <sz val="11"/>
      <color theme="1"/>
      <name val="Avenir Next LT Pro"/>
      <family val="2"/>
    </font>
    <font>
      <sz val="12"/>
      <color theme="1"/>
      <name val="Calibri"/>
      <family val="2"/>
      <scheme val="minor"/>
    </font>
    <font>
      <sz val="22"/>
      <color theme="1"/>
      <name val="Avenir Next LT Pro"/>
      <family val="2"/>
    </font>
    <font>
      <b/>
      <sz val="22"/>
      <color theme="0"/>
      <name val="Avenir Next LT Pro"/>
      <family val="2"/>
    </font>
    <font>
      <sz val="22"/>
      <color theme="0"/>
      <name val="Avenir Next LT Pro"/>
      <family val="2"/>
    </font>
    <font>
      <sz val="11"/>
      <color rgb="FF000000"/>
      <name val="Avenir Next LT Pro"/>
      <family val="2"/>
    </font>
    <font>
      <b/>
      <sz val="14"/>
      <color theme="1"/>
      <name val="Avenir Next LT Pro"/>
      <family val="2"/>
    </font>
    <font>
      <b/>
      <sz val="12"/>
      <color rgb="FF002060"/>
      <name val="Avenir Next LT Pro"/>
      <family val="2"/>
    </font>
    <font>
      <sz val="11"/>
      <color theme="8" tint="0.39997558519241921"/>
      <name val="Avenir Next LT Pro"/>
      <family val="2"/>
    </font>
  </fonts>
  <fills count="1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theme="9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6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2" fillId="0" borderId="0" xfId="0" applyFont="1" applyAlignment="1">
      <alignment horizontal="center"/>
    </xf>
    <xf numFmtId="164" fontId="2" fillId="0" borderId="0" xfId="0" applyNumberFormat="1" applyFo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2" fillId="3" borderId="2" xfId="0" applyFont="1" applyFill="1" applyBorder="1"/>
    <xf numFmtId="0" fontId="2" fillId="0" borderId="3" xfId="0" applyFont="1" applyBorder="1"/>
    <xf numFmtId="0" fontId="2" fillId="0" borderId="4" xfId="0" applyFont="1" applyBorder="1"/>
    <xf numFmtId="0" fontId="2" fillId="2" borderId="0" xfId="0" applyFont="1" applyFill="1"/>
    <xf numFmtId="0" fontId="2" fillId="3" borderId="5" xfId="0" applyFont="1" applyFill="1" applyBorder="1"/>
    <xf numFmtId="0" fontId="2" fillId="0" borderId="6" xfId="0" applyFont="1" applyBorder="1"/>
    <xf numFmtId="0" fontId="2" fillId="0" borderId="1" xfId="0" applyFont="1" applyBorder="1"/>
    <xf numFmtId="14" fontId="2" fillId="0" borderId="1" xfId="0" applyNumberFormat="1" applyFont="1" applyBorder="1"/>
    <xf numFmtId="44" fontId="2" fillId="0" borderId="1" xfId="1" applyFont="1" applyFill="1" applyBorder="1"/>
    <xf numFmtId="0" fontId="2" fillId="3" borderId="7" xfId="0" applyFont="1" applyFill="1" applyBorder="1"/>
    <xf numFmtId="0" fontId="2" fillId="0" borderId="8" xfId="0" applyFont="1" applyBorder="1"/>
    <xf numFmtId="0" fontId="2" fillId="0" borderId="9" xfId="0" applyFont="1" applyBorder="1"/>
    <xf numFmtId="0" fontId="2" fillId="4" borderId="2" xfId="0" applyFont="1" applyFill="1" applyBorder="1"/>
    <xf numFmtId="0" fontId="2" fillId="4" borderId="5" xfId="0" applyFont="1" applyFill="1" applyBorder="1"/>
    <xf numFmtId="0" fontId="2" fillId="4" borderId="7" xfId="0" applyFont="1" applyFill="1" applyBorder="1"/>
    <xf numFmtId="0" fontId="2" fillId="5" borderId="2" xfId="0" applyFont="1" applyFill="1" applyBorder="1"/>
    <xf numFmtId="0" fontId="2" fillId="5" borderId="5" xfId="0" applyFont="1" applyFill="1" applyBorder="1"/>
    <xf numFmtId="0" fontId="2" fillId="5" borderId="7" xfId="0" applyFont="1" applyFill="1" applyBorder="1"/>
    <xf numFmtId="0" fontId="2" fillId="2" borderId="2" xfId="0" applyFont="1" applyFill="1" applyBorder="1"/>
    <xf numFmtId="0" fontId="2" fillId="2" borderId="5" xfId="0" applyFont="1" applyFill="1" applyBorder="1"/>
    <xf numFmtId="0" fontId="2" fillId="2" borderId="7" xfId="0" applyFont="1" applyFill="1" applyBorder="1"/>
    <xf numFmtId="0" fontId="3" fillId="0" borderId="0" xfId="0" pivotButton="1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indent="1"/>
    </xf>
    <xf numFmtId="164" fontId="3" fillId="0" borderId="0" xfId="0" applyNumberFormat="1" applyFont="1"/>
    <xf numFmtId="0" fontId="3" fillId="0" borderId="0" xfId="0" applyFont="1" applyAlignment="1">
      <alignment horizontal="center"/>
    </xf>
    <xf numFmtId="44" fontId="3" fillId="0" borderId="0" xfId="0" applyNumberFormat="1" applyFont="1"/>
    <xf numFmtId="1" fontId="3" fillId="0" borderId="0" xfId="0" applyNumberFormat="1" applyFont="1"/>
    <xf numFmtId="0" fontId="4" fillId="12" borderId="13" xfId="0" applyFont="1" applyFill="1" applyBorder="1"/>
    <xf numFmtId="0" fontId="2" fillId="13" borderId="13" xfId="0" applyFont="1" applyFill="1" applyBorder="1"/>
    <xf numFmtId="0" fontId="2" fillId="12" borderId="13" xfId="0" applyFont="1" applyFill="1" applyBorder="1"/>
    <xf numFmtId="0" fontId="7" fillId="2" borderId="0" xfId="0" applyFont="1" applyFill="1" applyAlignment="1">
      <alignment vertical="center"/>
    </xf>
    <xf numFmtId="0" fontId="8" fillId="7" borderId="1" xfId="0" applyFont="1" applyFill="1" applyBorder="1" applyAlignment="1">
      <alignment vertical="center"/>
    </xf>
    <xf numFmtId="0" fontId="8" fillId="10" borderId="1" xfId="0" applyFont="1" applyFill="1" applyBorder="1" applyAlignment="1" applyProtection="1">
      <alignment horizontal="center" vertical="center"/>
      <protection locked="0"/>
    </xf>
    <xf numFmtId="0" fontId="8" fillId="11" borderId="1" xfId="0" applyFont="1" applyFill="1" applyBorder="1" applyAlignment="1">
      <alignment vertical="center"/>
    </xf>
    <xf numFmtId="0" fontId="8" fillId="3" borderId="10" xfId="0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Alignment="1">
      <alignment vertical="center"/>
    </xf>
    <xf numFmtId="0" fontId="9" fillId="2" borderId="0" xfId="0" applyFont="1" applyFill="1" applyAlignment="1">
      <alignment horizontal="center" vertical="center"/>
    </xf>
    <xf numFmtId="0" fontId="8" fillId="5" borderId="1" xfId="0" applyFont="1" applyFill="1" applyBorder="1" applyAlignment="1">
      <alignment vertical="center"/>
    </xf>
    <xf numFmtId="0" fontId="9" fillId="5" borderId="10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vertical="center"/>
    </xf>
    <xf numFmtId="14" fontId="9" fillId="8" borderId="4" xfId="0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8" fillId="8" borderId="12" xfId="0" applyFont="1" applyFill="1" applyBorder="1" applyAlignment="1">
      <alignment vertical="center"/>
    </xf>
    <xf numFmtId="0" fontId="9" fillId="8" borderId="9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vertical="center"/>
    </xf>
    <xf numFmtId="1" fontId="9" fillId="5" borderId="9" xfId="0" applyNumberFormat="1" applyFont="1" applyFill="1" applyBorder="1" applyAlignment="1">
      <alignment horizontal="center" vertical="center"/>
    </xf>
    <xf numFmtId="0" fontId="9" fillId="8" borderId="4" xfId="0" applyFont="1" applyFill="1" applyBorder="1" applyAlignment="1">
      <alignment horizontal="center" vertical="center"/>
    </xf>
    <xf numFmtId="164" fontId="9" fillId="5" borderId="10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6" fillId="9" borderId="0" xfId="0" applyFont="1" applyFill="1"/>
    <xf numFmtId="0" fontId="0" fillId="2" borderId="0" xfId="0" applyFill="1"/>
    <xf numFmtId="0" fontId="11" fillId="0" borderId="0" xfId="0" applyFont="1"/>
    <xf numFmtId="0" fontId="3" fillId="2" borderId="0" xfId="0" applyFont="1" applyFill="1"/>
    <xf numFmtId="0" fontId="3" fillId="2" borderId="0" xfId="0" applyFont="1" applyFill="1" applyAlignment="1">
      <alignment horizontal="left"/>
    </xf>
    <xf numFmtId="164" fontId="3" fillId="2" borderId="0" xfId="0" applyNumberFormat="1" applyFont="1" applyFill="1"/>
    <xf numFmtId="0" fontId="3" fillId="2" borderId="0" xfId="0" applyFont="1" applyFill="1" applyAlignment="1">
      <alignment horizontal="center"/>
    </xf>
    <xf numFmtId="0" fontId="6" fillId="2" borderId="0" xfId="0" applyFont="1" applyFill="1"/>
    <xf numFmtId="0" fontId="5" fillId="2" borderId="1" xfId="0" applyFont="1" applyFill="1" applyBorder="1"/>
    <xf numFmtId="0" fontId="2" fillId="2" borderId="1" xfId="0" applyFont="1" applyFill="1" applyBorder="1"/>
    <xf numFmtId="0" fontId="2" fillId="6" borderId="1" xfId="0" applyFont="1" applyFill="1" applyBorder="1"/>
    <xf numFmtId="0" fontId="12" fillId="2" borderId="0" xfId="0" applyFont="1" applyFill="1" applyAlignment="1">
      <alignment horizontal="center"/>
    </xf>
    <xf numFmtId="2" fontId="3" fillId="0" borderId="0" xfId="0" applyNumberFormat="1" applyFont="1"/>
    <xf numFmtId="0" fontId="3" fillId="0" borderId="0" xfId="0" applyNumberFormat="1" applyFont="1"/>
    <xf numFmtId="0" fontId="13" fillId="2" borderId="0" xfId="0" applyFont="1" applyFill="1"/>
    <xf numFmtId="0" fontId="3" fillId="2" borderId="0" xfId="0" applyNumberFormat="1" applyFont="1" applyFill="1"/>
  </cellXfs>
  <cellStyles count="2">
    <cellStyle name="Normale" xfId="0" builtinId="0"/>
    <cellStyle name="Valuta" xfId="1" builtinId="4"/>
  </cellStyles>
  <dxfs count="472"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numFmt numFmtId="2" formatCode="0.00"/>
    </dxf>
    <dxf>
      <numFmt numFmtId="1" formatCode="0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34" formatCode="_-* #,##0.00\ &quot;€&quot;_-;\-* #,##0.00\ &quot;€&quot;_-;_-* &quot;-&quot;??\ &quot;€&quot;_-;_-@_-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34" formatCode="_-* #,##0.00\ &quot;€&quot;_-;\-* #,##0.00\ &quot;€&quot;_-;_-* &quot;-&quot;??\ &quot;€&quot;_-;_-@_-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2" formatCode="0.00"/>
    </dxf>
    <dxf>
      <numFmt numFmtId="1" formatCode="0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164" formatCode="#,##0.00\ &quot;€&quot;"/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ont>
        <color theme="8" tint="0.39997558519241921"/>
      </font>
    </dxf>
    <dxf>
      <fill>
        <patternFill patternType="solid"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numFmt numFmtId="34" formatCode="_-* #,##0.00\ &quot;€&quot;_-;\-* #,##0.00\ &quot;€&quot;_-;_-* &quot;-&quot;??\ &quot;€&quot;_-;_-@_-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2" formatCode="0.00"/>
    </dxf>
    <dxf>
      <numFmt numFmtId="1" formatCode="0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34" formatCode="_-* #,##0.00\ &quot;€&quot;_-;\-* #,##0.00\ &quot;€&quot;_-;_-* &quot;-&quot;??\ &quot;€&quot;_-;_-@_-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2" formatCode="0.00"/>
    </dxf>
    <dxf>
      <numFmt numFmtId="1" formatCode="0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34" formatCode="_-* #,##0.00\ &quot;€&quot;_-;\-* #,##0.00\ &quot;€&quot;_-;_-* &quot;-&quot;??\ &quot;€&quot;_-;_-@_-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34" formatCode="_-* #,##0.00\ &quot;€&quot;_-;\-* #,##0.00\ &quot;€&quot;_-;_-* &quot;-&quot;??\ &quot;€&quot;_-;_-@_-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34" formatCode="_-* #,##0.00\ &quot;€&quot;_-;\-* #,##0.00\ &quot;€&quot;_-;_-* &quot;-&quot;??\ &quot;€&quot;_-;_-@_-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2" formatCode="0.00"/>
    </dxf>
    <dxf>
      <numFmt numFmtId="1" formatCode="0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font>
        <color theme="8" tint="0.59999389629810485"/>
      </font>
    </dxf>
    <dxf>
      <font>
        <color theme="8" tint="0.39997558519241921"/>
      </font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34" formatCode="_-* #,##0.00\ &quot;€&quot;_-;\-* #,##0.00\ &quot;€&quot;_-;_-* &quot;-&quot;??\ &quot;€&quot;_-;_-@_-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34" formatCode="_-* #,##0.00\ &quot;€&quot;_-;\-* #,##0.00\ &quot;€&quot;_-;_-* &quot;-&quot;??\ &quot;€&quot;_-;_-@_-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numFmt numFmtId="34" formatCode="_-* #,##0.00\ &quot;€&quot;_-;\-* #,##0.00\ &quot;€&quot;_-;_-* &quot;-&quot;??\ &quot;€&quot;_-;_-@_-"/>
    </dxf>
    <dxf>
      <alignment horizontal="center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numFmt numFmtId="1" formatCode="0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  <numFmt numFmtId="0" formatCode="General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  <numFmt numFmtId="0" formatCode="General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  <numFmt numFmtId="164" formatCode="#,##0.00\ &quot;€&quot;"/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venir Next LT Pro"/>
        <family val="2"/>
        <scheme val="none"/>
      </font>
    </dxf>
    <dxf>
      <fill>
        <patternFill>
          <bgColor theme="8" tint="0.59999389629810485"/>
        </patternFill>
      </fill>
    </dxf>
    <dxf>
      <numFmt numFmtId="164" formatCode="#,##0.00\ &quot;€&quot;"/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  <dxf>
      <font>
        <name val="Avenir Next LT Pro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3.xml"/><Relationship Id="rId18" Type="http://schemas.microsoft.com/office/2007/relationships/slicerCache" Target="slicerCaches/slicerCache1.xml"/><Relationship Id="rId26" Type="http://schemas.openxmlformats.org/officeDocument/2006/relationships/pivotCacheDefinition" Target="pivotCache/pivotCacheDefinition8.xml"/><Relationship Id="rId39" Type="http://schemas.openxmlformats.org/officeDocument/2006/relationships/sharedStrings" Target="sharedStrings.xml"/><Relationship Id="rId21" Type="http://schemas.microsoft.com/office/2007/relationships/slicerCache" Target="slicerCaches/slicerCache4.xml"/><Relationship Id="rId34" Type="http://schemas.openxmlformats.org/officeDocument/2006/relationships/pivotTable" Target="pivotTables/pivotTable4.xml"/><Relationship Id="rId42" Type="http://schemas.openxmlformats.org/officeDocument/2006/relationships/customXml" Target="../customXml/item1.xml"/><Relationship Id="rId47" Type="http://schemas.openxmlformats.org/officeDocument/2006/relationships/customXml" Target="../customXml/item6.xml"/><Relationship Id="rId50" Type="http://schemas.openxmlformats.org/officeDocument/2006/relationships/customXml" Target="../customXml/item9.xml"/><Relationship Id="rId55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9" Type="http://schemas.openxmlformats.org/officeDocument/2006/relationships/pivotCacheDefinition" Target="pivotCache/pivotCacheDefinition11.xml"/><Relationship Id="rId11" Type="http://schemas.openxmlformats.org/officeDocument/2006/relationships/pivotCacheDefinition" Target="pivotCache/pivotCacheDefinition1.xml"/><Relationship Id="rId24" Type="http://schemas.microsoft.com/office/2007/relationships/slicerCache" Target="slicerCaches/slicerCache7.xml"/><Relationship Id="rId32" Type="http://schemas.openxmlformats.org/officeDocument/2006/relationships/pivotTable" Target="pivotTables/pivotTable2.xml"/><Relationship Id="rId37" Type="http://schemas.openxmlformats.org/officeDocument/2006/relationships/connections" Target="connections.xml"/><Relationship Id="rId40" Type="http://schemas.openxmlformats.org/officeDocument/2006/relationships/powerPivotData" Target="model/item.data"/><Relationship Id="rId45" Type="http://schemas.openxmlformats.org/officeDocument/2006/relationships/customXml" Target="../customXml/item4.xml"/><Relationship Id="rId53" Type="http://schemas.openxmlformats.org/officeDocument/2006/relationships/customXml" Target="../customXml/item12.xml"/><Relationship Id="rId58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microsoft.com/office/2007/relationships/slicerCache" Target="slicerCaches/slicerCache2.xml"/><Relationship Id="rId14" Type="http://schemas.openxmlformats.org/officeDocument/2006/relationships/pivotCacheDefinition" Target="pivotCache/pivotCacheDefinition4.xml"/><Relationship Id="rId22" Type="http://schemas.microsoft.com/office/2007/relationships/slicerCache" Target="slicerCaches/slicerCache5.xml"/><Relationship Id="rId27" Type="http://schemas.openxmlformats.org/officeDocument/2006/relationships/pivotCacheDefinition" Target="pivotCache/pivotCacheDefinition9.xml"/><Relationship Id="rId30" Type="http://schemas.openxmlformats.org/officeDocument/2006/relationships/pivotCacheDefinition" Target="pivotCache/pivotCacheDefinition12.xml"/><Relationship Id="rId35" Type="http://schemas.openxmlformats.org/officeDocument/2006/relationships/pivotTable" Target="pivotTables/pivotTable5.xml"/><Relationship Id="rId43" Type="http://schemas.openxmlformats.org/officeDocument/2006/relationships/customXml" Target="../customXml/item2.xml"/><Relationship Id="rId48" Type="http://schemas.openxmlformats.org/officeDocument/2006/relationships/customXml" Target="../customXml/item7.xml"/><Relationship Id="rId56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2.xml"/><Relationship Id="rId17" Type="http://schemas.openxmlformats.org/officeDocument/2006/relationships/pivotCacheDefinition" Target="pivotCache/pivotCacheDefinition7.xml"/><Relationship Id="rId25" Type="http://schemas.microsoft.com/office/2007/relationships/slicerCache" Target="slicerCaches/slicerCache8.xml"/><Relationship Id="rId33" Type="http://schemas.openxmlformats.org/officeDocument/2006/relationships/pivotTable" Target="pivotTables/pivotTable3.xml"/><Relationship Id="rId38" Type="http://schemas.openxmlformats.org/officeDocument/2006/relationships/styles" Target="styles.xml"/><Relationship Id="rId46" Type="http://schemas.openxmlformats.org/officeDocument/2006/relationships/customXml" Target="../customXml/item5.xml"/><Relationship Id="rId59" Type="http://schemas.openxmlformats.org/officeDocument/2006/relationships/customXml" Target="../customXml/item18.xml"/><Relationship Id="rId20" Type="http://schemas.microsoft.com/office/2007/relationships/slicerCache" Target="slicerCaches/slicerCache3.xml"/><Relationship Id="rId41" Type="http://schemas.openxmlformats.org/officeDocument/2006/relationships/calcChain" Target="calcChain.xml"/><Relationship Id="rId54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5.xml"/><Relationship Id="rId23" Type="http://schemas.microsoft.com/office/2007/relationships/slicerCache" Target="slicerCaches/slicerCache6.xml"/><Relationship Id="rId28" Type="http://schemas.openxmlformats.org/officeDocument/2006/relationships/pivotCacheDefinition" Target="pivotCache/pivotCacheDefinition10.xml"/><Relationship Id="rId36" Type="http://schemas.openxmlformats.org/officeDocument/2006/relationships/theme" Target="theme/theme1.xml"/><Relationship Id="rId49" Type="http://schemas.openxmlformats.org/officeDocument/2006/relationships/customXml" Target="../customXml/item8.xml"/><Relationship Id="rId57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31" Type="http://schemas.openxmlformats.org/officeDocument/2006/relationships/pivotTable" Target="pivotTables/pivotTable1.xml"/><Relationship Id="rId44" Type="http://schemas.openxmlformats.org/officeDocument/2006/relationships/customXml" Target="../customXml/item3.xml"/><Relationship Id="rId52" Type="http://schemas.openxmlformats.org/officeDocument/2006/relationships/customXml" Target="../customXml/item11.xml"/><Relationship Id="rId60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FILOSOFIA</c:v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Lit>
              <c:ptCount val="30"/>
              <c:pt idx="0">
                <c:v>FISICA 3
Bari</c:v>
              </c:pt>
              <c:pt idx="1">
                <c:v>FISICA 5
Bari</c:v>
              </c:pt>
              <c:pt idx="2">
                <c:v>INGLESE 3
Bari</c:v>
              </c:pt>
              <c:pt idx="3">
                <c:v>ITALIANO 3
Bari</c:v>
              </c:pt>
              <c:pt idx="4">
                <c:v>LATINO 3
Bari</c:v>
              </c:pt>
              <c:pt idx="5">
                <c:v>LATINO 5
Bari</c:v>
              </c:pt>
              <c:pt idx="6">
                <c:v>MATEMATICA 3
Bari</c:v>
              </c:pt>
              <c:pt idx="7">
                <c:v>MATEMATICA 5
Bari</c:v>
              </c:pt>
              <c:pt idx="8">
                <c:v>FISICA 1
Bologna</c:v>
              </c:pt>
              <c:pt idx="9">
                <c:v>INGLESE 1
Bologna</c:v>
              </c:pt>
              <c:pt idx="10">
                <c:v>INGLESE 4
Bologna</c:v>
              </c:pt>
              <c:pt idx="11">
                <c:v>ITALIANO 1
Bologna</c:v>
              </c:pt>
              <c:pt idx="12">
                <c:v>ITALIANO 4
Bologna</c:v>
              </c:pt>
              <c:pt idx="13">
                <c:v>LATINO 6
Bologna</c:v>
              </c:pt>
              <c:pt idx="14">
                <c:v>MATEMATICA 1
Bologna</c:v>
              </c:pt>
              <c:pt idx="15">
                <c:v>MATEMATICA 4
Bologna</c:v>
              </c:pt>
              <c:pt idx="16">
                <c:v>FISICA 2
Napoli</c:v>
              </c:pt>
              <c:pt idx="17">
                <c:v>FISICA 4
Napoli</c:v>
              </c:pt>
              <c:pt idx="18">
                <c:v>INGLESE 2
Napoli</c:v>
              </c:pt>
              <c:pt idx="19">
                <c:v>INGLESE 5
Napoli</c:v>
              </c:pt>
              <c:pt idx="20">
                <c:v>ITALIANO 2
Napoli</c:v>
              </c:pt>
              <c:pt idx="21">
                <c:v>ITALIANO 5
Napoli</c:v>
              </c:pt>
              <c:pt idx="22">
                <c:v>LATINO 2
Napoli</c:v>
              </c:pt>
              <c:pt idx="23">
                <c:v>LATINO 4
Napoli</c:v>
              </c:pt>
              <c:pt idx="24">
                <c:v>MATEMATICA 2
Napoli</c:v>
              </c:pt>
              <c:pt idx="25">
                <c:v>FISICA 6
Online</c:v>
              </c:pt>
              <c:pt idx="26">
                <c:v>INGLESE 6
Online</c:v>
              </c:pt>
              <c:pt idx="27">
                <c:v>ITALIANO 6
Online</c:v>
              </c:pt>
              <c:pt idx="28">
                <c:v>LATINO 1
Online</c:v>
              </c:pt>
              <c:pt idx="29">
                <c:v>MATEMATICA 6
Online</c:v>
              </c:pt>
            </c:strLit>
          </c:cat>
          <c:val>
            <c:numLit>
              <c:formatCode>General</c:formatCode>
              <c:ptCount val="30"/>
              <c:pt idx="4">
                <c:v>60</c:v>
              </c:pt>
              <c:pt idx="5">
                <c:v>50</c:v>
              </c:pt>
              <c:pt idx="13">
                <c:v>50</c:v>
              </c:pt>
              <c:pt idx="22">
                <c:v>60</c:v>
              </c:pt>
              <c:pt idx="23">
                <c:v>50</c:v>
              </c:pt>
              <c:pt idx="28">
                <c:v>60</c:v>
              </c:pt>
            </c:numLit>
          </c:val>
          <c:extLst>
            <c:ext xmlns:c16="http://schemas.microsoft.com/office/drawing/2014/chart" uri="{C3380CC4-5D6E-409C-BE32-E72D297353CC}">
              <c16:uniqueId val="{00000001-3742-4AE9-988A-1568B587503F}"/>
            </c:ext>
          </c:extLst>
        </c:ser>
        <c:ser>
          <c:idx val="1"/>
          <c:order val="1"/>
          <c:tx>
            <c:v>FISICA</c:v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Lit>
              <c:ptCount val="30"/>
              <c:pt idx="0">
                <c:v>FISICA 3
Bari</c:v>
              </c:pt>
              <c:pt idx="1">
                <c:v>FISICA 5
Bari</c:v>
              </c:pt>
              <c:pt idx="2">
                <c:v>INGLESE 3
Bari</c:v>
              </c:pt>
              <c:pt idx="3">
                <c:v>ITALIANO 3
Bari</c:v>
              </c:pt>
              <c:pt idx="4">
                <c:v>LATINO 3
Bari</c:v>
              </c:pt>
              <c:pt idx="5">
                <c:v>LATINO 5
Bari</c:v>
              </c:pt>
              <c:pt idx="6">
                <c:v>MATEMATICA 3
Bari</c:v>
              </c:pt>
              <c:pt idx="7">
                <c:v>MATEMATICA 5
Bari</c:v>
              </c:pt>
              <c:pt idx="8">
                <c:v>FISICA 1
Bologna</c:v>
              </c:pt>
              <c:pt idx="9">
                <c:v>INGLESE 1
Bologna</c:v>
              </c:pt>
              <c:pt idx="10">
                <c:v>INGLESE 4
Bologna</c:v>
              </c:pt>
              <c:pt idx="11">
                <c:v>ITALIANO 1
Bologna</c:v>
              </c:pt>
              <c:pt idx="12">
                <c:v>ITALIANO 4
Bologna</c:v>
              </c:pt>
              <c:pt idx="13">
                <c:v>LATINO 6
Bologna</c:v>
              </c:pt>
              <c:pt idx="14">
                <c:v>MATEMATICA 1
Bologna</c:v>
              </c:pt>
              <c:pt idx="15">
                <c:v>MATEMATICA 4
Bologna</c:v>
              </c:pt>
              <c:pt idx="16">
                <c:v>FISICA 2
Napoli</c:v>
              </c:pt>
              <c:pt idx="17">
                <c:v>FISICA 4
Napoli</c:v>
              </c:pt>
              <c:pt idx="18">
                <c:v>INGLESE 2
Napoli</c:v>
              </c:pt>
              <c:pt idx="19">
                <c:v>INGLESE 5
Napoli</c:v>
              </c:pt>
              <c:pt idx="20">
                <c:v>ITALIANO 2
Napoli</c:v>
              </c:pt>
              <c:pt idx="21">
                <c:v>ITALIANO 5
Napoli</c:v>
              </c:pt>
              <c:pt idx="22">
                <c:v>LATINO 2
Napoli</c:v>
              </c:pt>
              <c:pt idx="23">
                <c:v>LATINO 4
Napoli</c:v>
              </c:pt>
              <c:pt idx="24">
                <c:v>MATEMATICA 2
Napoli</c:v>
              </c:pt>
              <c:pt idx="25">
                <c:v>FISICA 6
Online</c:v>
              </c:pt>
              <c:pt idx="26">
                <c:v>INGLESE 6
Online</c:v>
              </c:pt>
              <c:pt idx="27">
                <c:v>ITALIANO 6
Online</c:v>
              </c:pt>
              <c:pt idx="28">
                <c:v>LATINO 1
Online</c:v>
              </c:pt>
              <c:pt idx="29">
                <c:v>MATEMATICA 6
Online</c:v>
              </c:pt>
            </c:strLit>
          </c:cat>
          <c:val>
            <c:numLit>
              <c:formatCode>General</c:formatCode>
              <c:ptCount val="30"/>
              <c:pt idx="0">
                <c:v>60</c:v>
              </c:pt>
              <c:pt idx="1">
                <c:v>50</c:v>
              </c:pt>
              <c:pt idx="8">
                <c:v>60</c:v>
              </c:pt>
              <c:pt idx="16">
                <c:v>60</c:v>
              </c:pt>
              <c:pt idx="17">
                <c:v>50</c:v>
              </c:pt>
              <c:pt idx="25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13-C831-4C70-9AD9-FD862867888B}"/>
            </c:ext>
          </c:extLst>
        </c:ser>
        <c:ser>
          <c:idx val="2"/>
          <c:order val="2"/>
          <c:tx>
            <c:v>LETTERATURA</c:v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</c:spPr>
          <c:invertIfNegative val="0"/>
          <c:cat>
            <c:strLit>
              <c:ptCount val="30"/>
              <c:pt idx="0">
                <c:v>FISICA 3
Bari</c:v>
              </c:pt>
              <c:pt idx="1">
                <c:v>FISICA 5
Bari</c:v>
              </c:pt>
              <c:pt idx="2">
                <c:v>INGLESE 3
Bari</c:v>
              </c:pt>
              <c:pt idx="3">
                <c:v>ITALIANO 3
Bari</c:v>
              </c:pt>
              <c:pt idx="4">
                <c:v>LATINO 3
Bari</c:v>
              </c:pt>
              <c:pt idx="5">
                <c:v>LATINO 5
Bari</c:v>
              </c:pt>
              <c:pt idx="6">
                <c:v>MATEMATICA 3
Bari</c:v>
              </c:pt>
              <c:pt idx="7">
                <c:v>MATEMATICA 5
Bari</c:v>
              </c:pt>
              <c:pt idx="8">
                <c:v>FISICA 1
Bologna</c:v>
              </c:pt>
              <c:pt idx="9">
                <c:v>INGLESE 1
Bologna</c:v>
              </c:pt>
              <c:pt idx="10">
                <c:v>INGLESE 4
Bologna</c:v>
              </c:pt>
              <c:pt idx="11">
                <c:v>ITALIANO 1
Bologna</c:v>
              </c:pt>
              <c:pt idx="12">
                <c:v>ITALIANO 4
Bologna</c:v>
              </c:pt>
              <c:pt idx="13">
                <c:v>LATINO 6
Bologna</c:v>
              </c:pt>
              <c:pt idx="14">
                <c:v>MATEMATICA 1
Bologna</c:v>
              </c:pt>
              <c:pt idx="15">
                <c:v>MATEMATICA 4
Bologna</c:v>
              </c:pt>
              <c:pt idx="16">
                <c:v>FISICA 2
Napoli</c:v>
              </c:pt>
              <c:pt idx="17">
                <c:v>FISICA 4
Napoli</c:v>
              </c:pt>
              <c:pt idx="18">
                <c:v>INGLESE 2
Napoli</c:v>
              </c:pt>
              <c:pt idx="19">
                <c:v>INGLESE 5
Napoli</c:v>
              </c:pt>
              <c:pt idx="20">
                <c:v>ITALIANO 2
Napoli</c:v>
              </c:pt>
              <c:pt idx="21">
                <c:v>ITALIANO 5
Napoli</c:v>
              </c:pt>
              <c:pt idx="22">
                <c:v>LATINO 2
Napoli</c:v>
              </c:pt>
              <c:pt idx="23">
                <c:v>LATINO 4
Napoli</c:v>
              </c:pt>
              <c:pt idx="24">
                <c:v>MATEMATICA 2
Napoli</c:v>
              </c:pt>
              <c:pt idx="25">
                <c:v>FISICA 6
Online</c:v>
              </c:pt>
              <c:pt idx="26">
                <c:v>INGLESE 6
Online</c:v>
              </c:pt>
              <c:pt idx="27">
                <c:v>ITALIANO 6
Online</c:v>
              </c:pt>
              <c:pt idx="28">
                <c:v>LATINO 1
Online</c:v>
              </c:pt>
              <c:pt idx="29">
                <c:v>MATEMATICA 6
Online</c:v>
              </c:pt>
            </c:strLit>
          </c:cat>
          <c:val>
            <c:numLit>
              <c:formatCode>General</c:formatCode>
              <c:ptCount val="30"/>
              <c:pt idx="3">
                <c:v>40</c:v>
              </c:pt>
              <c:pt idx="11">
                <c:v>40</c:v>
              </c:pt>
              <c:pt idx="12">
                <c:v>30</c:v>
              </c:pt>
              <c:pt idx="20">
                <c:v>40</c:v>
              </c:pt>
              <c:pt idx="21">
                <c:v>30</c:v>
              </c:pt>
              <c:pt idx="27">
                <c:v>30</c:v>
              </c:pt>
            </c:numLit>
          </c:val>
          <c:extLst>
            <c:ext xmlns:c16="http://schemas.microsoft.com/office/drawing/2014/chart" uri="{C3380CC4-5D6E-409C-BE32-E72D297353CC}">
              <c16:uniqueId val="{00000014-C831-4C70-9AD9-FD862867888B}"/>
            </c:ext>
          </c:extLst>
        </c:ser>
        <c:ser>
          <c:idx val="3"/>
          <c:order val="3"/>
          <c:tx>
            <c:v>LINGUE</c:v>
          </c:tx>
          <c:spPr>
            <a:gradFill rotWithShape="1">
              <a:gsLst>
                <a:gs pos="0">
                  <a:schemeClr val="accent1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shade val="95000"/>
                </a:schemeClr>
              </a:solidFill>
              <a:round/>
            </a:ln>
            <a:effectLst/>
          </c:spPr>
          <c:invertIfNegative val="0"/>
          <c:cat>
            <c:strLit>
              <c:ptCount val="30"/>
              <c:pt idx="0">
                <c:v>FISICA 3
Bari</c:v>
              </c:pt>
              <c:pt idx="1">
                <c:v>FISICA 5
Bari</c:v>
              </c:pt>
              <c:pt idx="2">
                <c:v>INGLESE 3
Bari</c:v>
              </c:pt>
              <c:pt idx="3">
                <c:v>ITALIANO 3
Bari</c:v>
              </c:pt>
              <c:pt idx="4">
                <c:v>LATINO 3
Bari</c:v>
              </c:pt>
              <c:pt idx="5">
                <c:v>LATINO 5
Bari</c:v>
              </c:pt>
              <c:pt idx="6">
                <c:v>MATEMATICA 3
Bari</c:v>
              </c:pt>
              <c:pt idx="7">
                <c:v>MATEMATICA 5
Bari</c:v>
              </c:pt>
              <c:pt idx="8">
                <c:v>FISICA 1
Bologna</c:v>
              </c:pt>
              <c:pt idx="9">
                <c:v>INGLESE 1
Bologna</c:v>
              </c:pt>
              <c:pt idx="10">
                <c:v>INGLESE 4
Bologna</c:v>
              </c:pt>
              <c:pt idx="11">
                <c:v>ITALIANO 1
Bologna</c:v>
              </c:pt>
              <c:pt idx="12">
                <c:v>ITALIANO 4
Bologna</c:v>
              </c:pt>
              <c:pt idx="13">
                <c:v>LATINO 6
Bologna</c:v>
              </c:pt>
              <c:pt idx="14">
                <c:v>MATEMATICA 1
Bologna</c:v>
              </c:pt>
              <c:pt idx="15">
                <c:v>MATEMATICA 4
Bologna</c:v>
              </c:pt>
              <c:pt idx="16">
                <c:v>FISICA 2
Napoli</c:v>
              </c:pt>
              <c:pt idx="17">
                <c:v>FISICA 4
Napoli</c:v>
              </c:pt>
              <c:pt idx="18">
                <c:v>INGLESE 2
Napoli</c:v>
              </c:pt>
              <c:pt idx="19">
                <c:v>INGLESE 5
Napoli</c:v>
              </c:pt>
              <c:pt idx="20">
                <c:v>ITALIANO 2
Napoli</c:v>
              </c:pt>
              <c:pt idx="21">
                <c:v>ITALIANO 5
Napoli</c:v>
              </c:pt>
              <c:pt idx="22">
                <c:v>LATINO 2
Napoli</c:v>
              </c:pt>
              <c:pt idx="23">
                <c:v>LATINO 4
Napoli</c:v>
              </c:pt>
              <c:pt idx="24">
                <c:v>MATEMATICA 2
Napoli</c:v>
              </c:pt>
              <c:pt idx="25">
                <c:v>FISICA 6
Online</c:v>
              </c:pt>
              <c:pt idx="26">
                <c:v>INGLESE 6
Online</c:v>
              </c:pt>
              <c:pt idx="27">
                <c:v>ITALIANO 6
Online</c:v>
              </c:pt>
              <c:pt idx="28">
                <c:v>LATINO 1
Online</c:v>
              </c:pt>
              <c:pt idx="29">
                <c:v>MATEMATICA 6
Online</c:v>
              </c:pt>
            </c:strLit>
          </c:cat>
          <c:val>
            <c:numLit>
              <c:formatCode>General</c:formatCode>
              <c:ptCount val="30"/>
              <c:pt idx="2">
                <c:v>40</c:v>
              </c:pt>
              <c:pt idx="9">
                <c:v>40</c:v>
              </c:pt>
              <c:pt idx="10">
                <c:v>30</c:v>
              </c:pt>
              <c:pt idx="18">
                <c:v>40</c:v>
              </c:pt>
              <c:pt idx="19">
                <c:v>30</c:v>
              </c:pt>
              <c:pt idx="26">
                <c:v>30</c:v>
              </c:pt>
            </c:numLit>
          </c:val>
          <c:extLst>
            <c:ext xmlns:c16="http://schemas.microsoft.com/office/drawing/2014/chart" uri="{C3380CC4-5D6E-409C-BE32-E72D297353CC}">
              <c16:uniqueId val="{00000015-C831-4C70-9AD9-FD862867888B}"/>
            </c:ext>
          </c:extLst>
        </c:ser>
        <c:ser>
          <c:idx val="4"/>
          <c:order val="4"/>
          <c:tx>
            <c:v>MATEMATICA</c:v>
          </c:tx>
          <c:spPr>
            <a:gradFill rotWithShape="1">
              <a:gsLst>
                <a:gs pos="0">
                  <a:schemeClr val="accent3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shade val="95000"/>
                </a:schemeClr>
              </a:solidFill>
              <a:round/>
            </a:ln>
            <a:effectLst/>
          </c:spPr>
          <c:invertIfNegative val="0"/>
          <c:cat>
            <c:strLit>
              <c:ptCount val="30"/>
              <c:pt idx="0">
                <c:v>FISICA 3
Bari</c:v>
              </c:pt>
              <c:pt idx="1">
                <c:v>FISICA 5
Bari</c:v>
              </c:pt>
              <c:pt idx="2">
                <c:v>INGLESE 3
Bari</c:v>
              </c:pt>
              <c:pt idx="3">
                <c:v>ITALIANO 3
Bari</c:v>
              </c:pt>
              <c:pt idx="4">
                <c:v>LATINO 3
Bari</c:v>
              </c:pt>
              <c:pt idx="5">
                <c:v>LATINO 5
Bari</c:v>
              </c:pt>
              <c:pt idx="6">
                <c:v>MATEMATICA 3
Bari</c:v>
              </c:pt>
              <c:pt idx="7">
                <c:v>MATEMATICA 5
Bari</c:v>
              </c:pt>
              <c:pt idx="8">
                <c:v>FISICA 1
Bologna</c:v>
              </c:pt>
              <c:pt idx="9">
                <c:v>INGLESE 1
Bologna</c:v>
              </c:pt>
              <c:pt idx="10">
                <c:v>INGLESE 4
Bologna</c:v>
              </c:pt>
              <c:pt idx="11">
                <c:v>ITALIANO 1
Bologna</c:v>
              </c:pt>
              <c:pt idx="12">
                <c:v>ITALIANO 4
Bologna</c:v>
              </c:pt>
              <c:pt idx="13">
                <c:v>LATINO 6
Bologna</c:v>
              </c:pt>
              <c:pt idx="14">
                <c:v>MATEMATICA 1
Bologna</c:v>
              </c:pt>
              <c:pt idx="15">
                <c:v>MATEMATICA 4
Bologna</c:v>
              </c:pt>
              <c:pt idx="16">
                <c:v>FISICA 2
Napoli</c:v>
              </c:pt>
              <c:pt idx="17">
                <c:v>FISICA 4
Napoli</c:v>
              </c:pt>
              <c:pt idx="18">
                <c:v>INGLESE 2
Napoli</c:v>
              </c:pt>
              <c:pt idx="19">
                <c:v>INGLESE 5
Napoli</c:v>
              </c:pt>
              <c:pt idx="20">
                <c:v>ITALIANO 2
Napoli</c:v>
              </c:pt>
              <c:pt idx="21">
                <c:v>ITALIANO 5
Napoli</c:v>
              </c:pt>
              <c:pt idx="22">
                <c:v>LATINO 2
Napoli</c:v>
              </c:pt>
              <c:pt idx="23">
                <c:v>LATINO 4
Napoli</c:v>
              </c:pt>
              <c:pt idx="24">
                <c:v>MATEMATICA 2
Napoli</c:v>
              </c:pt>
              <c:pt idx="25">
                <c:v>FISICA 6
Online</c:v>
              </c:pt>
              <c:pt idx="26">
                <c:v>INGLESE 6
Online</c:v>
              </c:pt>
              <c:pt idx="27">
                <c:v>ITALIANO 6
Online</c:v>
              </c:pt>
              <c:pt idx="28">
                <c:v>LATINO 1
Online</c:v>
              </c:pt>
              <c:pt idx="29">
                <c:v>MATEMATICA 6
Online</c:v>
              </c:pt>
            </c:strLit>
          </c:cat>
          <c:val>
            <c:numLit>
              <c:formatCode>General</c:formatCode>
              <c:ptCount val="30"/>
              <c:pt idx="6">
                <c:v>60</c:v>
              </c:pt>
              <c:pt idx="7">
                <c:v>50</c:v>
              </c:pt>
              <c:pt idx="14">
                <c:v>60</c:v>
              </c:pt>
              <c:pt idx="15">
                <c:v>50</c:v>
              </c:pt>
              <c:pt idx="24">
                <c:v>60</c:v>
              </c:pt>
              <c:pt idx="29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0-63BC-4D02-9661-F9C5D4BF0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0154640"/>
        <c:axId val="1540157136"/>
      </c:barChart>
      <c:catAx>
        <c:axId val="15401546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it-IT"/>
          </a:p>
        </c:txPr>
        <c:crossAx val="154015713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54015713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it-IT"/>
          </a:p>
        </c:txPr>
        <c:crossAx val="1540154640"/>
        <c:crosses val="autoZero"/>
        <c:crossBetween val="between"/>
        <c:extLst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  <a:scene3d>
      <a:camera prst="orthographicFront"/>
      <a:lightRig rig="threePt" dir="t"/>
    </a:scene3d>
    <a:sp3d>
      <a:bevelT/>
    </a:sp3d>
  </c:spPr>
  <c:txPr>
    <a:bodyPr/>
    <a:lstStyle/>
    <a:p>
      <a:pPr>
        <a:defRPr>
          <a:latin typeface="Avenir Next LT Pro" panose="020B0504020202020204" pitchFamily="34" charset="0"/>
        </a:defRPr>
      </a:pPr>
      <a:endParaRPr lang="it-IT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[MODELLO DATI FORMAZIONE_MODIFICATO_r03.xlsm]PivotChartTable5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none" spc="2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PREZZO MEDIO CORSI PER SEDE</a:t>
            </a:r>
          </a:p>
        </c:rich>
      </c:tx>
      <c:layout>
        <c:manualLayout>
          <c:xMode val="edge"/>
          <c:yMode val="edge"/>
          <c:x val="0.25771379847572534"/>
          <c:y val="3.61838491118842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none" spc="20" baseline="0">
              <a:solidFill>
                <a:schemeClr val="accent1">
                  <a:lumMod val="50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  <a:sp3d contourW="9525">
            <a:contourClr>
              <a:schemeClr val="accent1">
                <a:shade val="9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v>Totale</c:v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Lit>
              <c:ptCount val="4"/>
              <c:pt idx="0">
                <c:v>Bari</c:v>
              </c:pt>
              <c:pt idx="1">
                <c:v>Bologna</c:v>
              </c:pt>
              <c:pt idx="2">
                <c:v>Napoli</c:v>
              </c:pt>
              <c:pt idx="3">
                <c:v>Online</c:v>
              </c:pt>
            </c:strLit>
          </c:cat>
          <c:val>
            <c:numLit>
              <c:formatCode>General</c:formatCode>
              <c:ptCount val="4"/>
              <c:pt idx="0">
                <c:v>288.125</c:v>
              </c:pt>
              <c:pt idx="1">
                <c:v>238.75</c:v>
              </c:pt>
              <c:pt idx="2">
                <c:v>252.22222222222223</c:v>
              </c:pt>
              <c:pt idx="3">
                <c:v>230</c:v>
              </c:pt>
            </c:numLit>
          </c:val>
          <c:extLst>
            <c:ext xmlns:c16="http://schemas.microsoft.com/office/drawing/2014/chart" uri="{C3380CC4-5D6E-409C-BE32-E72D297353CC}">
              <c16:uniqueId val="{00000001-EF19-496A-83DE-2556B1681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4332752"/>
        <c:axId val="154329424"/>
        <c:axId val="0"/>
      </c:bar3DChart>
      <c:catAx>
        <c:axId val="15433275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it-IT"/>
          </a:p>
        </c:txPr>
        <c:crossAx val="15432942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54329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it-IT"/>
          </a:p>
        </c:txPr>
        <c:crossAx val="154332752"/>
        <c:crosses val="autoZero"/>
        <c:crossBetween val="between"/>
        <c:extLst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  <a:scene3d>
      <a:camera prst="orthographicFront"/>
      <a:lightRig rig="threePt" dir="t"/>
    </a:scene3d>
    <a:sp3d>
      <a:bevelT/>
    </a:sp3d>
  </c:spPr>
  <c:txPr>
    <a:bodyPr/>
    <a:lstStyle/>
    <a:p>
      <a:pPr>
        <a:defRPr>
          <a:latin typeface="Avenir Next LT Pro" panose="020B0504020202020204" pitchFamily="34" charset="0"/>
        </a:defRPr>
      </a:pPr>
      <a:endParaRPr lang="it-IT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[MODELLO DATI FORMAZIONE_MODIFICATO_r03.xlsm]PivotChartTable1</c15:name>
        <c15:fmtId val="0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none" spc="2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PREZZO MEDIO CORSI PER  MATERIA</a:t>
            </a:r>
          </a:p>
        </c:rich>
      </c:tx>
      <c:layout>
        <c:manualLayout>
          <c:xMode val="edge"/>
          <c:yMode val="edge"/>
          <c:x val="0.2607151880079161"/>
          <c:y val="2.68815235304889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none" spc="20" baseline="0">
              <a:solidFill>
                <a:schemeClr val="accent1">
                  <a:lumMod val="50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  <a:sp3d contourW="9525">
            <a:contourClr>
              <a:schemeClr val="accent1">
                <a:shade val="9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v>Totale</c:v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Lit>
              <c:ptCount val="5"/>
              <c:pt idx="0">
                <c:v>FILOSOFIA</c:v>
              </c:pt>
              <c:pt idx="1">
                <c:v>FISICA</c:v>
              </c:pt>
              <c:pt idx="2">
                <c:v>LETTERATURA</c:v>
              </c:pt>
              <c:pt idx="3">
                <c:v>LINGUE</c:v>
              </c:pt>
              <c:pt idx="4">
                <c:v>MATEMATICA</c:v>
              </c:pt>
            </c:strLit>
          </c:cat>
          <c:val>
            <c:numLit>
              <c:formatCode>General</c:formatCode>
              <c:ptCount val="5"/>
              <c:pt idx="0">
                <c:v>317.5</c:v>
              </c:pt>
              <c:pt idx="1">
                <c:v>317.5</c:v>
              </c:pt>
              <c:pt idx="2">
                <c:v>160</c:v>
              </c:pt>
              <c:pt idx="3">
                <c:v>160</c:v>
              </c:pt>
              <c:pt idx="4">
                <c:v>317.5</c:v>
              </c:pt>
            </c:numLit>
          </c:val>
          <c:extLst>
            <c:ext xmlns:c16="http://schemas.microsoft.com/office/drawing/2014/chart" uri="{C3380CC4-5D6E-409C-BE32-E72D297353CC}">
              <c16:uniqueId val="{00000001-5DC8-46DC-997E-A25FAC8BC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6518192"/>
        <c:axId val="1086521936"/>
        <c:axId val="0"/>
      </c:bar3DChart>
      <c:catAx>
        <c:axId val="1086518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it-IT"/>
          </a:p>
        </c:txPr>
        <c:crossAx val="108652193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08652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it-IT"/>
          </a:p>
        </c:txPr>
        <c:crossAx val="1086518192"/>
        <c:crosses val="autoZero"/>
        <c:crossBetween val="between"/>
        <c:extLst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/>
    </a:sp3d>
  </c:spPr>
  <c:txPr>
    <a:bodyPr/>
    <a:lstStyle/>
    <a:p>
      <a:pPr>
        <a:defRPr>
          <a:latin typeface="Avenir Next LT Pro" panose="020B0504020202020204" pitchFamily="34" charset="0"/>
        </a:defRPr>
      </a:pPr>
      <a:endParaRPr lang="it-IT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[MODELLO DATI FORMAZIONE_MODIFICATO_r03.xlsm]PivotChartTable2</c15:name>
        <c15:fmtId val="0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none" spc="2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CORSI TOTALI PER MATERIA</a:t>
            </a:r>
          </a:p>
        </c:rich>
      </c:tx>
      <c:layout>
        <c:manualLayout>
          <c:xMode val="edge"/>
          <c:yMode val="edge"/>
          <c:x val="0.26012021558802478"/>
          <c:y val="2.68815235304889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none" spc="20" baseline="0">
              <a:solidFill>
                <a:schemeClr val="accent1">
                  <a:lumMod val="50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spc="50" baseline="0">
                  <a:ln w="0"/>
                  <a:solidFill>
                    <a:schemeClr val="accent1">
                      <a:lumMod val="75000"/>
                    </a:schemeClr>
                  </a:solidFill>
                  <a:effectLst>
                    <a:innerShdw blurRad="63500" dist="50800" dir="13500000">
                      <a:srgbClr val="000000">
                        <a:alpha val="50000"/>
                      </a:srgbClr>
                    </a:innerShdw>
                  </a:effectLst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0000"/>
                  <a:lumMod val="110000"/>
                  <a:satMod val="105000"/>
                  <a:tint val="67000"/>
                </a:schemeClr>
              </a:gs>
              <a:gs pos="50000">
                <a:schemeClr val="accent1">
                  <a:shade val="50000"/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shade val="50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50000"/>
                <a:shade val="95000"/>
              </a:schemeClr>
            </a:solidFill>
            <a:round/>
          </a:ln>
          <a:effectLst/>
        </c:spPr>
        <c:dLbl>
          <c:idx val="0"/>
          <c:layout>
            <c:manualLayout>
              <c:x val="0.11229946524064172"/>
              <c:y val="-9.767441860465118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spc="50" baseline="0">
                  <a:ln w="0"/>
                  <a:solidFill>
                    <a:schemeClr val="accent1">
                      <a:lumMod val="75000"/>
                    </a:schemeClr>
                  </a:solidFill>
                  <a:effectLst>
                    <a:innerShdw blurRad="63500" dist="50800" dir="13500000">
                      <a:srgbClr val="000000">
                        <a:alpha val="50000"/>
                      </a:srgbClr>
                    </a:innerShdw>
                  </a:effectLst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8000"/>
                  <a:lumMod val="110000"/>
                  <a:satMod val="105000"/>
                  <a:tint val="67000"/>
                </a:schemeClr>
              </a:gs>
              <a:gs pos="50000">
                <a:schemeClr val="accent1">
                  <a:shade val="58000"/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shade val="58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58000"/>
                <a:shade val="95000"/>
              </a:schemeClr>
            </a:solidFill>
            <a:round/>
          </a:ln>
          <a:effectLst/>
        </c:spPr>
        <c:dLbl>
          <c:idx val="0"/>
          <c:layout>
            <c:manualLayout>
              <c:x val="0.10962566844919786"/>
              <c:y val="0.1627906976744186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spc="50" baseline="0">
                  <a:ln w="0"/>
                  <a:solidFill>
                    <a:schemeClr val="accent1">
                      <a:lumMod val="75000"/>
                    </a:schemeClr>
                  </a:solidFill>
                  <a:effectLst>
                    <a:innerShdw blurRad="63500" dist="50800" dir="13500000">
                      <a:srgbClr val="000000">
                        <a:alpha val="50000"/>
                      </a:srgbClr>
                    </a:innerShdw>
                  </a:effectLst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86000"/>
                  <a:lumMod val="110000"/>
                  <a:satMod val="105000"/>
                  <a:tint val="67000"/>
                </a:schemeClr>
              </a:gs>
              <a:gs pos="50000">
                <a:schemeClr val="accent1">
                  <a:shade val="86000"/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shade val="86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86000"/>
                <a:shade val="95000"/>
              </a:schemeClr>
            </a:solidFill>
            <a:round/>
          </a:ln>
          <a:effectLst/>
        </c:spPr>
        <c:dLbl>
          <c:idx val="0"/>
          <c:layout>
            <c:manualLayout>
              <c:x val="-9.6256684491978634E-2"/>
              <c:y val="7.44186046511627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spc="50" baseline="0">
                  <a:ln w="0"/>
                  <a:solidFill>
                    <a:schemeClr val="accent1">
                      <a:lumMod val="75000"/>
                    </a:schemeClr>
                  </a:solidFill>
                  <a:effectLst>
                    <a:innerShdw blurRad="63500" dist="50800" dir="13500000">
                      <a:srgbClr val="000000">
                        <a:alpha val="50000"/>
                      </a:srgbClr>
                    </a:innerShdw>
                  </a:effectLst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tint val="86000"/>
                  <a:lumMod val="110000"/>
                  <a:satMod val="105000"/>
                  <a:tint val="67000"/>
                </a:schemeClr>
              </a:gs>
              <a:gs pos="50000">
                <a:schemeClr val="accent1">
                  <a:tint val="86000"/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tint val="86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tint val="86000"/>
                <a:shade val="95000"/>
              </a:schemeClr>
            </a:solidFill>
            <a:round/>
          </a:ln>
          <a:effectLst/>
        </c:spPr>
        <c:dLbl>
          <c:idx val="0"/>
          <c:layout>
            <c:manualLayout>
              <c:x val="-0.10962566844919788"/>
              <c:y val="-5.1162790697674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spc="50" baseline="0">
                  <a:ln w="0"/>
                  <a:solidFill>
                    <a:schemeClr val="accent1">
                      <a:lumMod val="75000"/>
                    </a:schemeClr>
                  </a:solidFill>
                  <a:effectLst>
                    <a:innerShdw blurRad="63500" dist="50800" dir="13500000">
                      <a:srgbClr val="000000">
                        <a:alpha val="50000"/>
                      </a:srgbClr>
                    </a:innerShdw>
                  </a:effectLst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tint val="54000"/>
                  <a:lumMod val="110000"/>
                  <a:satMod val="105000"/>
                  <a:tint val="67000"/>
                </a:schemeClr>
              </a:gs>
              <a:gs pos="50000">
                <a:schemeClr val="accent1">
                  <a:tint val="54000"/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tint val="54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tint val="54000"/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tint val="54000"/>
                  <a:lumMod val="110000"/>
                  <a:satMod val="105000"/>
                  <a:tint val="67000"/>
                </a:schemeClr>
              </a:gs>
              <a:gs pos="50000">
                <a:schemeClr val="accent1">
                  <a:tint val="54000"/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tint val="54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tint val="54000"/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shade val="50000"/>
                  <a:lumMod val="110000"/>
                  <a:satMod val="105000"/>
                  <a:tint val="67000"/>
                </a:schemeClr>
              </a:gs>
              <a:gs pos="50000">
                <a:schemeClr val="accent1">
                  <a:shade val="50000"/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shade val="50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50000"/>
                <a:shade val="95000"/>
              </a:schemeClr>
            </a:solidFill>
            <a:round/>
          </a:ln>
          <a:effectLst/>
        </c:spP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shade val="53000"/>
                  <a:lumMod val="110000"/>
                  <a:satMod val="105000"/>
                  <a:tint val="67000"/>
                </a:schemeClr>
              </a:gs>
              <a:gs pos="50000">
                <a:schemeClr val="accent1">
                  <a:shade val="53000"/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shade val="53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53000"/>
                <a:shade val="95000"/>
              </a:schemeClr>
            </a:solidFill>
            <a:round/>
          </a:ln>
          <a:effectLst/>
        </c:spPr>
        <c:dLbl>
          <c:idx val="0"/>
          <c:layout>
            <c:manualLayout>
              <c:x val="0.10497151272787539"/>
              <c:y val="-6.51162790697674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spc="50" baseline="0">
                  <a:ln w="0"/>
                  <a:solidFill>
                    <a:schemeClr val="accent1">
                      <a:lumMod val="75000"/>
                    </a:schemeClr>
                  </a:solidFill>
                  <a:effectLst>
                    <a:innerShdw blurRad="63500" dist="50800" dir="13500000">
                      <a:srgbClr val="000000">
                        <a:alpha val="50000"/>
                      </a:srgbClr>
                    </a:innerShdw>
                  </a:effectLst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v>Totale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3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9E-4638-812A-55F77398206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E-4638-812A-55F77398206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8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8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8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689E-4638-812A-55F77398206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8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8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86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689E-4638-812A-55F77398206A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1">
                      <a:tint val="8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8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8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86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55B6-4C72-B9DE-C9261B7DA3FB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1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3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B2FA-40E4-BC18-4CFF46427F07}"/>
              </c:ext>
            </c:extLst>
          </c:dPt>
          <c:dLbls>
            <c:dLbl>
              <c:idx val="0"/>
              <c:layout>
                <c:manualLayout>
                  <c:x val="0.10497151272787539"/>
                  <c:y val="-6.5116279069767483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89E-4638-812A-55F77398206A}"/>
                </c:ext>
              </c:extLst>
            </c:dLbl>
            <c:dLbl>
              <c:idx val="1"/>
              <c:layout>
                <c:manualLayout>
                  <c:x val="0.11229946524064172"/>
                  <c:y val="-9.7674418604651189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E-4638-812A-55F77398206A}"/>
                </c:ext>
              </c:extLst>
            </c:dLbl>
            <c:dLbl>
              <c:idx val="2"/>
              <c:layout>
                <c:manualLayout>
                  <c:x val="0.10962566844919786"/>
                  <c:y val="0.1627906976744186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89E-4638-812A-55F77398206A}"/>
                </c:ext>
              </c:extLst>
            </c:dLbl>
            <c:dLbl>
              <c:idx val="3"/>
              <c:layout>
                <c:manualLayout>
                  <c:x val="-9.6256684491978634E-2"/>
                  <c:y val="7.441860465116279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9E-4638-812A-55F77398206A}"/>
                </c:ext>
              </c:extLst>
            </c:dLbl>
            <c:dLbl>
              <c:idx val="4"/>
              <c:layout>
                <c:manualLayout>
                  <c:x val="-0.10962566844919788"/>
                  <c:y val="-5.116279069767446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5B6-4C72-B9DE-C9261B7DA3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spc="50" baseline="0">
                    <a:ln w="0"/>
                    <a:solidFill>
                      <a:schemeClr val="accent1">
                        <a:lumMod val="75000"/>
                      </a:schemeClr>
                    </a:solidFill>
                    <a:effectLst>
                      <a:innerShdw blurRad="63500" dist="50800" dir="13500000">
                        <a:srgbClr val="000000">
                          <a:alpha val="50000"/>
                        </a:srgbClr>
                      </a:innerShdw>
                    </a:effectLst>
                    <a:latin typeface="Avenir Next LT Pro" panose="020B0504020202020204" pitchFamily="34" charset="0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FILOSOFIA</c:v>
              </c:pt>
              <c:pt idx="1">
                <c:v>FISICA</c:v>
              </c:pt>
              <c:pt idx="2">
                <c:v>LETTERATURA</c:v>
              </c:pt>
              <c:pt idx="3">
                <c:v>LINGUE</c:v>
              </c:pt>
              <c:pt idx="4">
                <c:v>MATEMATICA</c:v>
              </c:pt>
            </c:strLit>
          </c:cat>
          <c:val>
            <c:numLit>
              <c:formatCode>General</c:formatCode>
              <c:ptCount val="5"/>
              <c:pt idx="0">
                <c:v>6</c:v>
              </c:pt>
              <c:pt idx="1">
                <c:v>6</c:v>
              </c:pt>
              <c:pt idx="2">
                <c:v>6</c:v>
              </c:pt>
              <c:pt idx="3">
                <c:v>6</c:v>
              </c:pt>
              <c:pt idx="4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1-C075-429F-8E71-3A4339040E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/>
    </a:sp3d>
  </c:spPr>
  <c:txPr>
    <a:bodyPr/>
    <a:lstStyle/>
    <a:p>
      <a:pPr>
        <a:defRPr>
          <a:latin typeface="Avenir Next LT Pro" panose="020B0504020202020204" pitchFamily="34" charset="0"/>
        </a:defRPr>
      </a:pPr>
      <a:endParaRPr lang="it-IT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[MODELLO DATI FORMAZIONE_MODIFICATO_r03.xlsm]PivotChartTable3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none" spc="2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it-IT" sz="1100" b="1">
                <a:solidFill>
                  <a:schemeClr val="accent1">
                    <a:lumMod val="50000"/>
                  </a:schemeClr>
                </a:solidFill>
              </a:rPr>
              <a:t>ANDAMENTO PREZZI MEDI PER DATA INIZIO CORSI</a:t>
            </a:r>
          </a:p>
        </c:rich>
      </c:tx>
      <c:layout>
        <c:manualLayout>
          <c:xMode val="edge"/>
          <c:yMode val="edge"/>
          <c:x val="0.11391700703187504"/>
          <c:y val="4.54861746932796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none" spc="20" baseline="0">
              <a:solidFill>
                <a:schemeClr val="accent1">
                  <a:lumMod val="50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v>Totale</c:v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cat>
            <c:strLit>
              <c:ptCount val="6"/>
              <c:pt idx="0">
                <c:v>03/07/2023</c:v>
              </c:pt>
              <c:pt idx="1">
                <c:v>04/07/2023</c:v>
              </c:pt>
              <c:pt idx="2">
                <c:v>05/07/2023</c:v>
              </c:pt>
              <c:pt idx="3">
                <c:v>06/07/2023</c:v>
              </c:pt>
              <c:pt idx="4">
                <c:v>07/07/2023</c:v>
              </c:pt>
              <c:pt idx="5">
                <c:v>08/07/2023</c:v>
              </c:pt>
            </c:strLit>
          </c:cat>
          <c:val>
            <c:numLit>
              <c:formatCode>General</c:formatCode>
              <c:ptCount val="6"/>
              <c:pt idx="0">
                <c:v>296</c:v>
              </c:pt>
              <c:pt idx="1">
                <c:v>296</c:v>
              </c:pt>
              <c:pt idx="2">
                <c:v>296</c:v>
              </c:pt>
              <c:pt idx="3">
                <c:v>213</c:v>
              </c:pt>
              <c:pt idx="4">
                <c:v>213</c:v>
              </c:pt>
              <c:pt idx="5">
                <c:v>213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F1E-4D95-BCC3-C61EC4A69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1086518608"/>
        <c:axId val="1086520688"/>
      </c:lineChart>
      <c:catAx>
        <c:axId val="10865186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spc="2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it-IT"/>
          </a:p>
        </c:txPr>
        <c:crossAx val="108652068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086520688"/>
        <c:scaling>
          <c:orientation val="minMax"/>
        </c:scaling>
        <c:delete val="0"/>
        <c:axPos val="l"/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spc="2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it-IT"/>
          </a:p>
        </c:txPr>
        <c:crossAx val="1086518608"/>
        <c:crosses val="autoZero"/>
        <c:crossBetween val="between"/>
        <c:extLst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/>
    </a:sp3d>
  </c:spPr>
  <c:txPr>
    <a:bodyPr/>
    <a:lstStyle/>
    <a:p>
      <a:pPr>
        <a:defRPr>
          <a:latin typeface="Avenir Next LT Pro" panose="020B0504020202020204" pitchFamily="34" charset="0"/>
        </a:defRPr>
      </a:pPr>
      <a:endParaRPr lang="it-IT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[MODELLO DATI FORMAZIONE_MODIFICATO_r03.xlsm]PivotChartTable4</c15:name>
        <c15:fmtId val="0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[MODELLO DATI FORMAZIONE_MODIFICATO_r03.xlsm]ANALISI!Tabella pivot1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it-IT" sz="1100" b="1">
                <a:solidFill>
                  <a:schemeClr val="accent1">
                    <a:lumMod val="50000"/>
                  </a:schemeClr>
                </a:solidFill>
              </a:rPr>
              <a:t>MEDIA PREZZI PER DOCENTE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accent1">
                  <a:lumMod val="50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ANALISI!$J$8</c:f>
              <c:strCache>
                <c:ptCount val="1"/>
                <c:pt idx="0">
                  <c:v>TOTALE PREZZI</c:v>
                </c:pt>
              </c:strCache>
            </c:strRef>
          </c:tx>
          <c:spPr>
            <a:ln w="34925" cap="rnd">
              <a:solidFill>
                <a:schemeClr val="accent1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ANALISI!$I$9:$I$24</c:f>
              <c:strCache>
                <c:ptCount val="15"/>
                <c:pt idx="0">
                  <c:v>Concetto Strano</c:v>
                </c:pt>
                <c:pt idx="1">
                  <c:v>Emiliana Lasagna</c:v>
                </c:pt>
                <c:pt idx="2">
                  <c:v>Ennio Annio</c:v>
                </c:pt>
                <c:pt idx="3">
                  <c:v>Feve Andrea</c:v>
                </c:pt>
                <c:pt idx="4">
                  <c:v>Fove Anna</c:v>
                </c:pt>
                <c:pt idx="5">
                  <c:v>Franco Forte</c:v>
                </c:pt>
                <c:pt idx="6">
                  <c:v>Giulia Gorgini</c:v>
                </c:pt>
                <c:pt idx="7">
                  <c:v>Lindo Ferretti</c:v>
                </c:pt>
                <c:pt idx="8">
                  <c:v>Maccio Capatonda</c:v>
                </c:pt>
                <c:pt idx="9">
                  <c:v>Manno Assunta</c:v>
                </c:pt>
                <c:pt idx="10">
                  <c:v>Perla Madonna</c:v>
                </c:pt>
                <c:pt idx="11">
                  <c:v>Pippo Longhi</c:v>
                </c:pt>
                <c:pt idx="12">
                  <c:v>Pluto Marini</c:v>
                </c:pt>
                <c:pt idx="13">
                  <c:v>Rosa Fiocco</c:v>
                </c:pt>
                <c:pt idx="14">
                  <c:v>Santa Pazienza</c:v>
                </c:pt>
              </c:strCache>
            </c:strRef>
          </c:cat>
          <c:val>
            <c:numRef>
              <c:f>ANALISI!$J$9:$J$24</c:f>
              <c:numCache>
                <c:formatCode>_("€"* #,##0.00_);_("€"* \(#,##0.00\);_("€"* "-"??_);_(@_)</c:formatCode>
                <c:ptCount val="15"/>
                <c:pt idx="0">
                  <c:v>635</c:v>
                </c:pt>
                <c:pt idx="1">
                  <c:v>320</c:v>
                </c:pt>
                <c:pt idx="2">
                  <c:v>635</c:v>
                </c:pt>
                <c:pt idx="3">
                  <c:v>635</c:v>
                </c:pt>
                <c:pt idx="4">
                  <c:v>320</c:v>
                </c:pt>
                <c:pt idx="5">
                  <c:v>635</c:v>
                </c:pt>
                <c:pt idx="6">
                  <c:v>635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635</c:v>
                </c:pt>
                <c:pt idx="12">
                  <c:v>635</c:v>
                </c:pt>
                <c:pt idx="13">
                  <c:v>635</c:v>
                </c:pt>
                <c:pt idx="14">
                  <c:v>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8B-450C-BFD3-20DA73DF7514}"/>
            </c:ext>
          </c:extLst>
        </c:ser>
        <c:ser>
          <c:idx val="1"/>
          <c:order val="1"/>
          <c:tx>
            <c:strRef>
              <c:f>ANALISI!$K$8</c:f>
              <c:strCache>
                <c:ptCount val="1"/>
                <c:pt idx="0">
                  <c:v>MEDIA PREZZI</c:v>
                </c:pt>
              </c:strCache>
            </c:strRef>
          </c:tx>
          <c:spPr>
            <a:ln w="34925" cap="rnd">
              <a:solidFill>
                <a:schemeClr val="accent1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ANALISI!$I$9:$I$24</c:f>
              <c:strCache>
                <c:ptCount val="15"/>
                <c:pt idx="0">
                  <c:v>Concetto Strano</c:v>
                </c:pt>
                <c:pt idx="1">
                  <c:v>Emiliana Lasagna</c:v>
                </c:pt>
                <c:pt idx="2">
                  <c:v>Ennio Annio</c:v>
                </c:pt>
                <c:pt idx="3">
                  <c:v>Feve Andrea</c:v>
                </c:pt>
                <c:pt idx="4">
                  <c:v>Fove Anna</c:v>
                </c:pt>
                <c:pt idx="5">
                  <c:v>Franco Forte</c:v>
                </c:pt>
                <c:pt idx="6">
                  <c:v>Giulia Gorgini</c:v>
                </c:pt>
                <c:pt idx="7">
                  <c:v>Lindo Ferretti</c:v>
                </c:pt>
                <c:pt idx="8">
                  <c:v>Maccio Capatonda</c:v>
                </c:pt>
                <c:pt idx="9">
                  <c:v>Manno Assunta</c:v>
                </c:pt>
                <c:pt idx="10">
                  <c:v>Perla Madonna</c:v>
                </c:pt>
                <c:pt idx="11">
                  <c:v>Pippo Longhi</c:v>
                </c:pt>
                <c:pt idx="12">
                  <c:v>Pluto Marini</c:v>
                </c:pt>
                <c:pt idx="13">
                  <c:v>Rosa Fiocco</c:v>
                </c:pt>
                <c:pt idx="14">
                  <c:v>Santa Pazienza</c:v>
                </c:pt>
              </c:strCache>
            </c:strRef>
          </c:cat>
          <c:val>
            <c:numRef>
              <c:f>ANALISI!$K$9:$K$24</c:f>
              <c:numCache>
                <c:formatCode>_("€"* #,##0.00_);_("€"* \(#,##0.00\);_("€"* "-"??_);_(@_)</c:formatCode>
                <c:ptCount val="15"/>
                <c:pt idx="0">
                  <c:v>317.5</c:v>
                </c:pt>
                <c:pt idx="1">
                  <c:v>160</c:v>
                </c:pt>
                <c:pt idx="2">
                  <c:v>317.5</c:v>
                </c:pt>
                <c:pt idx="3">
                  <c:v>317.5</c:v>
                </c:pt>
                <c:pt idx="4">
                  <c:v>160</c:v>
                </c:pt>
                <c:pt idx="5">
                  <c:v>317.5</c:v>
                </c:pt>
                <c:pt idx="6">
                  <c:v>317.5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317.5</c:v>
                </c:pt>
                <c:pt idx="12">
                  <c:v>317.5</c:v>
                </c:pt>
                <c:pt idx="13">
                  <c:v>317.5</c:v>
                </c:pt>
                <c:pt idx="14">
                  <c:v>317.5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6-4246-8CDA-BD10F0889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9809839"/>
        <c:axId val="1961093663"/>
      </c:lineChart>
      <c:catAx>
        <c:axId val="1469809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it-IT"/>
          </a:p>
        </c:txPr>
        <c:crossAx val="1961093663"/>
        <c:crosses val="autoZero"/>
        <c:auto val="1"/>
        <c:lblAlgn val="l"/>
        <c:lblOffset val="100"/>
        <c:noMultiLvlLbl val="0"/>
      </c:catAx>
      <c:valAx>
        <c:axId val="1961093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it-IT"/>
          </a:p>
        </c:txPr>
        <c:crossAx val="1469809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/>
    </a:sp3d>
  </c:spPr>
  <c:txPr>
    <a:bodyPr/>
    <a:lstStyle/>
    <a:p>
      <a:pPr>
        <a:defRPr>
          <a:latin typeface="Avenir Next LT Pro" panose="020B0504020202020204" pitchFamily="34" charset="0"/>
        </a:defRPr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[MODELLO DATI FORMAZIONE_MODIFICATO_r03.xlsm]ANALISI!Tabella pivot2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none" spc="2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it-IT" sz="1100" b="1">
                <a:solidFill>
                  <a:schemeClr val="accent1">
                    <a:lumMod val="50000"/>
                  </a:schemeClr>
                </a:solidFill>
              </a:rPr>
              <a:t>MONTE ORE PER DOCENTE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none" spc="20" baseline="0">
              <a:solidFill>
                <a:schemeClr val="accent1">
                  <a:lumMod val="50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  <a:sp3d contourW="9525">
            <a:contourClr>
              <a:schemeClr val="accent1">
                <a:shade val="9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ANALISI!$N$8</c:f>
              <c:strCache>
                <c:ptCount val="1"/>
                <c:pt idx="0">
                  <c:v>Totale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Ref>
              <c:f>ANALISI!$M$9:$M$24</c:f>
              <c:strCache>
                <c:ptCount val="15"/>
                <c:pt idx="0">
                  <c:v>Concetto Strano</c:v>
                </c:pt>
                <c:pt idx="1">
                  <c:v>Emiliana Lasagna</c:v>
                </c:pt>
                <c:pt idx="2">
                  <c:v>Ennio Annio</c:v>
                </c:pt>
                <c:pt idx="3">
                  <c:v>Feve Andrea</c:v>
                </c:pt>
                <c:pt idx="4">
                  <c:v>Fove Anna</c:v>
                </c:pt>
                <c:pt idx="5">
                  <c:v>Franco Forte</c:v>
                </c:pt>
                <c:pt idx="6">
                  <c:v>Giulia Gorgini</c:v>
                </c:pt>
                <c:pt idx="7">
                  <c:v>Lindo Ferretti</c:v>
                </c:pt>
                <c:pt idx="8">
                  <c:v>Maccio Capatonda</c:v>
                </c:pt>
                <c:pt idx="9">
                  <c:v>Manno Assunta</c:v>
                </c:pt>
                <c:pt idx="10">
                  <c:v>Perla Madonna</c:v>
                </c:pt>
                <c:pt idx="11">
                  <c:v>Pippo Longhi</c:v>
                </c:pt>
                <c:pt idx="12">
                  <c:v>Pluto Marini</c:v>
                </c:pt>
                <c:pt idx="13">
                  <c:v>Rosa Fiocco</c:v>
                </c:pt>
                <c:pt idx="14">
                  <c:v>Santa Pazienza</c:v>
                </c:pt>
              </c:strCache>
            </c:strRef>
          </c:cat>
          <c:val>
            <c:numRef>
              <c:f>ANALISI!$N$9:$N$24</c:f>
              <c:numCache>
                <c:formatCode>0</c:formatCode>
                <c:ptCount val="15"/>
                <c:pt idx="0">
                  <c:v>110</c:v>
                </c:pt>
                <c:pt idx="1">
                  <c:v>70</c:v>
                </c:pt>
                <c:pt idx="2">
                  <c:v>110</c:v>
                </c:pt>
                <c:pt idx="3">
                  <c:v>110</c:v>
                </c:pt>
                <c:pt idx="4">
                  <c:v>70</c:v>
                </c:pt>
                <c:pt idx="5">
                  <c:v>110</c:v>
                </c:pt>
                <c:pt idx="6">
                  <c:v>110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38-4B07-89E4-46FCF0D38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12240623"/>
        <c:axId val="255080767"/>
        <c:axId val="0"/>
      </c:bar3DChart>
      <c:catAx>
        <c:axId val="17122406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it-IT"/>
          </a:p>
        </c:txPr>
        <c:crossAx val="255080767"/>
        <c:crosses val="autoZero"/>
        <c:auto val="1"/>
        <c:lblAlgn val="ctr"/>
        <c:lblOffset val="100"/>
        <c:noMultiLvlLbl val="0"/>
      </c:catAx>
      <c:valAx>
        <c:axId val="255080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it-IT"/>
          </a:p>
        </c:txPr>
        <c:crossAx val="1712240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/>
    </a:sp3d>
  </c:spPr>
  <c:txPr>
    <a:bodyPr/>
    <a:lstStyle/>
    <a:p>
      <a:pPr>
        <a:defRPr>
          <a:latin typeface="Avenir Next LT Pro" panose="020B0504020202020204" pitchFamily="34" charset="0"/>
        </a:defRPr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[MODELLO DATI FORMAZIONE_MODIFICATO_r03.xlsm]ANALISI!Tabella pivot3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none" spc="2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MONTE ORE PER SEDE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none" spc="20" baseline="0">
              <a:solidFill>
                <a:schemeClr val="accent1">
                  <a:lumMod val="50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  <a:sp3d contourW="9525">
            <a:contourClr>
              <a:schemeClr val="accent1">
                <a:shade val="9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ANALISI!$Q$8</c:f>
              <c:strCache>
                <c:ptCount val="1"/>
                <c:pt idx="0">
                  <c:v>Totale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Ref>
              <c:f>ANALISI!$P$9:$P$13</c:f>
              <c:strCache>
                <c:ptCount val="4"/>
                <c:pt idx="0">
                  <c:v>Bari</c:v>
                </c:pt>
                <c:pt idx="1">
                  <c:v>Bologna</c:v>
                </c:pt>
                <c:pt idx="2">
                  <c:v>Napoli</c:v>
                </c:pt>
                <c:pt idx="3">
                  <c:v>Online</c:v>
                </c:pt>
              </c:strCache>
            </c:strRef>
          </c:cat>
          <c:val>
            <c:numRef>
              <c:f>ANALISI!$Q$9:$Q$13</c:f>
              <c:numCache>
                <c:formatCode>0</c:formatCode>
                <c:ptCount val="4"/>
                <c:pt idx="0">
                  <c:v>410</c:v>
                </c:pt>
                <c:pt idx="1">
                  <c:v>360</c:v>
                </c:pt>
                <c:pt idx="2">
                  <c:v>420</c:v>
                </c:pt>
                <c:pt idx="3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5D-455E-99AB-2CAC940FC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55651119"/>
        <c:axId val="384843055"/>
        <c:axId val="0"/>
      </c:bar3DChart>
      <c:catAx>
        <c:axId val="255651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it-IT"/>
          </a:p>
        </c:txPr>
        <c:crossAx val="384843055"/>
        <c:crosses val="autoZero"/>
        <c:auto val="1"/>
        <c:lblAlgn val="ctr"/>
        <c:lblOffset val="100"/>
        <c:noMultiLvlLbl val="0"/>
      </c:catAx>
      <c:valAx>
        <c:axId val="384843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it-IT"/>
          </a:p>
        </c:txPr>
        <c:crossAx val="255651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/>
    </a:sp3d>
  </c:spPr>
  <c:txPr>
    <a:bodyPr/>
    <a:lstStyle/>
    <a:p>
      <a:pPr>
        <a:defRPr>
          <a:latin typeface="Avenir Next LT Pro" panose="020B0504020202020204" pitchFamily="34" charset="0"/>
        </a:defRPr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[MODELLO DATI FORMAZIONE_MODIFICATO_r03.xlsm]ANALISI!Tabella pivot4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none" spc="2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N° ORE PER MATERIA E SEDE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none" spc="20" baseline="0">
              <a:solidFill>
                <a:schemeClr val="accent1">
                  <a:lumMod val="50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venir Next LT Pro" panose="020B0504020202020204" pitchFamily="34" charset="0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ANALISI!$Q$16</c:f>
              <c:strCache>
                <c:ptCount val="1"/>
                <c:pt idx="0">
                  <c:v>Totale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cat>
            <c:multiLvlStrRef>
              <c:f>ANALISI!$P$17:$P$42</c:f>
              <c:multiLvlStrCache>
                <c:ptCount val="20"/>
                <c:lvl>
                  <c:pt idx="0">
                    <c:v>Bari</c:v>
                  </c:pt>
                  <c:pt idx="1">
                    <c:v>Bologna</c:v>
                  </c:pt>
                  <c:pt idx="2">
                    <c:v>Napoli</c:v>
                  </c:pt>
                  <c:pt idx="3">
                    <c:v>Online</c:v>
                  </c:pt>
                  <c:pt idx="4">
                    <c:v>Bari</c:v>
                  </c:pt>
                  <c:pt idx="5">
                    <c:v>Bologna</c:v>
                  </c:pt>
                  <c:pt idx="6">
                    <c:v>Napoli</c:v>
                  </c:pt>
                  <c:pt idx="7">
                    <c:v>Online</c:v>
                  </c:pt>
                  <c:pt idx="8">
                    <c:v>Bari</c:v>
                  </c:pt>
                  <c:pt idx="9">
                    <c:v>Bologna</c:v>
                  </c:pt>
                  <c:pt idx="10">
                    <c:v>Napoli</c:v>
                  </c:pt>
                  <c:pt idx="11">
                    <c:v>Online</c:v>
                  </c:pt>
                  <c:pt idx="12">
                    <c:v>Bari</c:v>
                  </c:pt>
                  <c:pt idx="13">
                    <c:v>Bologna</c:v>
                  </c:pt>
                  <c:pt idx="14">
                    <c:v>Napoli</c:v>
                  </c:pt>
                  <c:pt idx="15">
                    <c:v>Online</c:v>
                  </c:pt>
                  <c:pt idx="16">
                    <c:v>Bari</c:v>
                  </c:pt>
                  <c:pt idx="17">
                    <c:v>Bologna</c:v>
                  </c:pt>
                  <c:pt idx="18">
                    <c:v>Napoli</c:v>
                  </c:pt>
                  <c:pt idx="19">
                    <c:v>Online</c:v>
                  </c:pt>
                </c:lvl>
                <c:lvl>
                  <c:pt idx="0">
                    <c:v>FILOSOFIA</c:v>
                  </c:pt>
                  <c:pt idx="4">
                    <c:v>FISICA</c:v>
                  </c:pt>
                  <c:pt idx="8">
                    <c:v>LETTERATURA</c:v>
                  </c:pt>
                  <c:pt idx="12">
                    <c:v>LINGUE</c:v>
                  </c:pt>
                  <c:pt idx="16">
                    <c:v>MATEMATICA</c:v>
                  </c:pt>
                </c:lvl>
              </c:multiLvlStrCache>
            </c:multiLvlStrRef>
          </c:cat>
          <c:val>
            <c:numRef>
              <c:f>ANALISI!$Q$17:$Q$42</c:f>
              <c:numCache>
                <c:formatCode>0.00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FC-4898-9D8A-08AB18611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252238319"/>
        <c:axId val="1431437231"/>
      </c:lineChart>
      <c:catAx>
        <c:axId val="252238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spc="2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it-IT"/>
          </a:p>
        </c:txPr>
        <c:crossAx val="1431437231"/>
        <c:crosses val="autoZero"/>
        <c:auto val="1"/>
        <c:lblAlgn val="ctr"/>
        <c:lblOffset val="100"/>
        <c:noMultiLvlLbl val="0"/>
      </c:catAx>
      <c:valAx>
        <c:axId val="1431437231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spc="20" baseline="0">
                <a:solidFill>
                  <a:schemeClr val="accent1">
                    <a:lumMod val="50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it-IT"/>
          </a:p>
        </c:txPr>
        <c:crossAx val="252238319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/>
    </a:sp3d>
  </c:spPr>
  <c:txPr>
    <a:bodyPr/>
    <a:lstStyle/>
    <a:p>
      <a:pPr>
        <a:defRPr>
          <a:latin typeface="Avenir Next LT Pro" panose="020B0504020202020204" pitchFamily="34" charset="0"/>
        </a:defRPr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SEDI!A1"/><Relationship Id="rId3" Type="http://schemas.openxmlformats.org/officeDocument/2006/relationships/hyperlink" Target="#'PROSPETTO CORSI'!A1"/><Relationship Id="rId7" Type="http://schemas.openxmlformats.org/officeDocument/2006/relationships/hyperlink" Target="#DOCENTI!A1"/><Relationship Id="rId2" Type="http://schemas.openxmlformats.org/officeDocument/2006/relationships/hyperlink" Target="#RICERCA!A1"/><Relationship Id="rId1" Type="http://schemas.openxmlformats.org/officeDocument/2006/relationships/hyperlink" Target="#INSERIMENTO!A1"/><Relationship Id="rId6" Type="http://schemas.openxmlformats.org/officeDocument/2006/relationships/hyperlink" Target="#PRINCIPALE!A1"/><Relationship Id="rId5" Type="http://schemas.openxmlformats.org/officeDocument/2006/relationships/hyperlink" Target="#DASHBOARD!A1"/><Relationship Id="rId4" Type="http://schemas.openxmlformats.org/officeDocument/2006/relationships/hyperlink" Target="#ANALISI!A1"/><Relationship Id="rId9" Type="http://schemas.openxmlformats.org/officeDocument/2006/relationships/hyperlink" Target="#MATERIE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10" Type="http://schemas.openxmlformats.org/officeDocument/2006/relationships/image" Target="../media/image1.png"/><Relationship Id="rId4" Type="http://schemas.openxmlformats.org/officeDocument/2006/relationships/chart" Target="../charts/chart5.xml"/><Relationship Id="rId9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104774</xdr:rowOff>
    </xdr:from>
    <xdr:to>
      <xdr:col>28</xdr:col>
      <xdr:colOff>581025</xdr:colOff>
      <xdr:row>6</xdr:row>
      <xdr:rowOff>133349</xdr:rowOff>
    </xdr:to>
    <xdr:sp macro="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3350" y="104774"/>
          <a:ext cx="17516475" cy="1171575"/>
        </a:xfrm>
        <a:prstGeom prst="roundRect">
          <a:avLst/>
        </a:prstGeom>
        <a:solidFill>
          <a:schemeClr val="accent5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8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CENTRO</a:t>
          </a:r>
          <a:r>
            <a:rPr lang="it-IT" sz="4800" b="1" cap="none" spc="50" baseline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 FORMAZIONE RECUPERO ORE SCOLASTICHE</a:t>
          </a:r>
        </a:p>
      </xdr:txBody>
    </xdr:sp>
    <xdr:clientData/>
  </xdr:twoCellAnchor>
  <xdr:twoCellAnchor>
    <xdr:from>
      <xdr:col>0</xdr:col>
      <xdr:colOff>114299</xdr:colOff>
      <xdr:row>8</xdr:row>
      <xdr:rowOff>171450</xdr:rowOff>
    </xdr:from>
    <xdr:to>
      <xdr:col>10</xdr:col>
      <xdr:colOff>352424</xdr:colOff>
      <xdr:row>14</xdr:row>
      <xdr:rowOff>28575</xdr:rowOff>
    </xdr:to>
    <xdr:sp macro="" textlink="">
      <xdr:nvSpPr>
        <xdr:cNvPr id="4" name="Rettangolo con angoli arrotondati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4299" y="1695450"/>
          <a:ext cx="6334125" cy="1000125"/>
        </a:xfrm>
        <a:prstGeom prst="roundRect">
          <a:avLst/>
        </a:prstGeom>
        <a:solidFill>
          <a:schemeClr val="accent5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8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INSERIMENTO DATI</a:t>
          </a:r>
        </a:p>
      </xdr:txBody>
    </xdr:sp>
    <xdr:clientData/>
  </xdr:twoCellAnchor>
  <xdr:twoCellAnchor>
    <xdr:from>
      <xdr:col>11</xdr:col>
      <xdr:colOff>371476</xdr:colOff>
      <xdr:row>8</xdr:row>
      <xdr:rowOff>161925</xdr:rowOff>
    </xdr:from>
    <xdr:to>
      <xdr:col>18</xdr:col>
      <xdr:colOff>66676</xdr:colOff>
      <xdr:row>14</xdr:row>
      <xdr:rowOff>19725</xdr:rowOff>
    </xdr:to>
    <xdr:sp macro="" textlink="">
      <xdr:nvSpPr>
        <xdr:cNvPr id="5" name="Rettangolo con angoli arrotondati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077076" y="1685925"/>
          <a:ext cx="3962400" cy="1000800"/>
        </a:xfrm>
        <a:prstGeom prst="round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8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RICERCA</a:t>
          </a:r>
          <a:endParaRPr lang="it-IT" sz="54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venir Next LT Pro" panose="020B0504020202020204" pitchFamily="34" charset="0"/>
          </a:endParaRPr>
        </a:p>
      </xdr:txBody>
    </xdr:sp>
    <xdr:clientData/>
  </xdr:twoCellAnchor>
  <xdr:twoCellAnchor>
    <xdr:from>
      <xdr:col>19</xdr:col>
      <xdr:colOff>66676</xdr:colOff>
      <xdr:row>8</xdr:row>
      <xdr:rowOff>161924</xdr:rowOff>
    </xdr:from>
    <xdr:to>
      <xdr:col>29</xdr:col>
      <xdr:colOff>28576</xdr:colOff>
      <xdr:row>14</xdr:row>
      <xdr:rowOff>19724</xdr:rowOff>
    </xdr:to>
    <xdr:sp macro="" textlink="">
      <xdr:nvSpPr>
        <xdr:cNvPr id="6" name="Rettangolo con angoli arrotondati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649076" y="1685924"/>
          <a:ext cx="6057900" cy="1000800"/>
        </a:xfrm>
        <a:prstGeom prst="roundRect">
          <a:avLst/>
        </a:prstGeom>
        <a:solidFill>
          <a:schemeClr val="accent5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800" b="1">
              <a:latin typeface="Avenir Next LT Pro" panose="020B0504020202020204" pitchFamily="34" charset="0"/>
            </a:rPr>
            <a:t>PROSPETTO</a:t>
          </a:r>
          <a:r>
            <a:rPr lang="it-IT" sz="4800" b="1" baseline="0">
              <a:latin typeface="Avenir Next LT Pro" panose="020B0504020202020204" pitchFamily="34" charset="0"/>
            </a:rPr>
            <a:t> CORSI</a:t>
          </a:r>
          <a:endParaRPr lang="it-IT" sz="4800" b="1">
            <a:latin typeface="Avenir Next LT Pro" panose="020B0504020202020204" pitchFamily="34" charset="0"/>
          </a:endParaRPr>
        </a:p>
      </xdr:txBody>
    </xdr:sp>
    <xdr:clientData/>
  </xdr:twoCellAnchor>
  <xdr:twoCellAnchor>
    <xdr:from>
      <xdr:col>1</xdr:col>
      <xdr:colOff>285750</xdr:colOff>
      <xdr:row>18</xdr:row>
      <xdr:rowOff>104773</xdr:rowOff>
    </xdr:from>
    <xdr:to>
      <xdr:col>8</xdr:col>
      <xdr:colOff>561975</xdr:colOff>
      <xdr:row>23</xdr:row>
      <xdr:rowOff>153073</xdr:rowOff>
    </xdr:to>
    <xdr:sp macro="" textlink="">
      <xdr:nvSpPr>
        <xdr:cNvPr id="7" name="Rettangolo con angoli arrotondati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95350" y="3533773"/>
          <a:ext cx="4543425" cy="1000800"/>
        </a:xfrm>
        <a:prstGeom prst="roundRect">
          <a:avLst/>
        </a:prstGeom>
        <a:solidFill>
          <a:schemeClr val="accent5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8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ANALISI</a:t>
          </a:r>
          <a:endParaRPr lang="it-IT" sz="4800" b="1">
            <a:ln w="0">
              <a:solidFill>
                <a:schemeClr val="bg1"/>
              </a:solidFill>
            </a:ln>
            <a:solidFill>
              <a:schemeClr val="bg1"/>
            </a:solidFill>
            <a:latin typeface="Avenir Next LT Pro" panose="020B0504020202020204" pitchFamily="34" charset="0"/>
          </a:endParaRPr>
        </a:p>
      </xdr:txBody>
    </xdr:sp>
    <xdr:clientData/>
  </xdr:twoCellAnchor>
  <xdr:twoCellAnchor>
    <xdr:from>
      <xdr:col>11</xdr:col>
      <xdr:colOff>133350</xdr:colOff>
      <xdr:row>18</xdr:row>
      <xdr:rowOff>95250</xdr:rowOff>
    </xdr:from>
    <xdr:to>
      <xdr:col>18</xdr:col>
      <xdr:colOff>200025</xdr:colOff>
      <xdr:row>23</xdr:row>
      <xdr:rowOff>143550</xdr:rowOff>
    </xdr:to>
    <xdr:sp macro="" textlink="">
      <xdr:nvSpPr>
        <xdr:cNvPr id="8" name="Rettangolo con angoli arrotondati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838950" y="3524250"/>
          <a:ext cx="4333875" cy="10008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8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DASHBOARD</a:t>
          </a:r>
          <a:endParaRPr lang="it-IT" sz="4800" b="1">
            <a:ln w="0">
              <a:solidFill>
                <a:schemeClr val="bg1"/>
              </a:solidFill>
            </a:ln>
            <a:solidFill>
              <a:schemeClr val="bg1"/>
            </a:solidFill>
            <a:latin typeface="Avenir Next LT Pro" panose="020B0504020202020204" pitchFamily="34" charset="0"/>
          </a:endParaRPr>
        </a:p>
      </xdr:txBody>
    </xdr:sp>
    <xdr:clientData/>
  </xdr:twoCellAnchor>
  <xdr:twoCellAnchor>
    <xdr:from>
      <xdr:col>19</xdr:col>
      <xdr:colOff>533401</xdr:colOff>
      <xdr:row>18</xdr:row>
      <xdr:rowOff>104773</xdr:rowOff>
    </xdr:from>
    <xdr:to>
      <xdr:col>28</xdr:col>
      <xdr:colOff>390525</xdr:colOff>
      <xdr:row>23</xdr:row>
      <xdr:rowOff>153073</xdr:rowOff>
    </xdr:to>
    <xdr:sp macro="" textlink="">
      <xdr:nvSpPr>
        <xdr:cNvPr id="9" name="Rettangolo con angoli arrotondati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2115801" y="3533773"/>
          <a:ext cx="5343524" cy="1000800"/>
        </a:xfrm>
        <a:prstGeom prst="roundRect">
          <a:avLst/>
        </a:prstGeom>
        <a:solidFill>
          <a:srgbClr val="002060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8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ELENCO</a:t>
          </a:r>
          <a:r>
            <a:rPr lang="it-IT" sz="4800" b="1" cap="none" spc="50" baseline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 CORSI</a:t>
          </a:r>
          <a:endParaRPr lang="it-IT" sz="4800" b="1">
            <a:ln w="0">
              <a:solidFill>
                <a:schemeClr val="bg1"/>
              </a:solidFill>
            </a:ln>
            <a:solidFill>
              <a:schemeClr val="bg1"/>
            </a:solidFill>
            <a:latin typeface="Avenir Next LT Pro" panose="020B0504020202020204" pitchFamily="34" charset="0"/>
          </a:endParaRPr>
        </a:p>
      </xdr:txBody>
    </xdr:sp>
    <xdr:clientData/>
  </xdr:twoCellAnchor>
  <xdr:twoCellAnchor>
    <xdr:from>
      <xdr:col>1</xdr:col>
      <xdr:colOff>590551</xdr:colOff>
      <xdr:row>27</xdr:row>
      <xdr:rowOff>38100</xdr:rowOff>
    </xdr:from>
    <xdr:to>
      <xdr:col>8</xdr:col>
      <xdr:colOff>285751</xdr:colOff>
      <xdr:row>32</xdr:row>
      <xdr:rowOff>86400</xdr:rowOff>
    </xdr:to>
    <xdr:sp macro="" textlink="">
      <xdr:nvSpPr>
        <xdr:cNvPr id="10" name="Rettangolo con angoli arrotondati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200151" y="5181600"/>
          <a:ext cx="3962400" cy="1000800"/>
        </a:xfrm>
        <a:prstGeom prst="round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8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DOCENTI</a:t>
          </a:r>
          <a:endParaRPr lang="it-IT" sz="54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venir Next LT Pro" panose="020B0504020202020204" pitchFamily="34" charset="0"/>
          </a:endParaRPr>
        </a:p>
      </xdr:txBody>
    </xdr:sp>
    <xdr:clientData/>
  </xdr:twoCellAnchor>
  <xdr:twoCellAnchor>
    <xdr:from>
      <xdr:col>12</xdr:col>
      <xdr:colOff>238126</xdr:colOff>
      <xdr:row>26</xdr:row>
      <xdr:rowOff>180975</xdr:rowOff>
    </xdr:from>
    <xdr:to>
      <xdr:col>17</xdr:col>
      <xdr:colOff>161925</xdr:colOff>
      <xdr:row>32</xdr:row>
      <xdr:rowOff>38775</xdr:rowOff>
    </xdr:to>
    <xdr:sp macro="" textlink="">
      <xdr:nvSpPr>
        <xdr:cNvPr id="11" name="Rettangolo con angoli arrotondati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553326" y="5133975"/>
          <a:ext cx="2971799" cy="1000800"/>
        </a:xfrm>
        <a:prstGeom prst="roundRect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8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SEDI</a:t>
          </a:r>
          <a:endParaRPr lang="it-IT" sz="54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venir Next LT Pro" panose="020B0504020202020204" pitchFamily="34" charset="0"/>
          </a:endParaRPr>
        </a:p>
      </xdr:txBody>
    </xdr:sp>
    <xdr:clientData/>
  </xdr:twoCellAnchor>
  <xdr:twoCellAnchor>
    <xdr:from>
      <xdr:col>21</xdr:col>
      <xdr:colOff>9526</xdr:colOff>
      <xdr:row>26</xdr:row>
      <xdr:rowOff>171448</xdr:rowOff>
    </xdr:from>
    <xdr:to>
      <xdr:col>27</xdr:col>
      <xdr:colOff>476250</xdr:colOff>
      <xdr:row>32</xdr:row>
      <xdr:rowOff>29248</xdr:rowOff>
    </xdr:to>
    <xdr:sp macro="" textlink="">
      <xdr:nvSpPr>
        <xdr:cNvPr id="12" name="Rettangolo con angoli arrotondati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2811126" y="5124448"/>
          <a:ext cx="4124324" cy="1000800"/>
        </a:xfrm>
        <a:prstGeom prst="roundRect">
          <a:avLst/>
        </a:prstGeom>
        <a:solidFill>
          <a:srgbClr val="002060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8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MATERIE</a:t>
          </a:r>
          <a:endParaRPr lang="it-IT" sz="4800" b="1">
            <a:ln w="0">
              <a:solidFill>
                <a:schemeClr val="bg1"/>
              </a:solidFill>
            </a:ln>
            <a:solidFill>
              <a:schemeClr val="bg1"/>
            </a:solidFill>
            <a:latin typeface="Avenir Next LT Pro" panose="020B05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28575</xdr:colOff>
          <xdr:row>7</xdr:row>
          <xdr:rowOff>9525</xdr:rowOff>
        </xdr:from>
        <xdr:to>
          <xdr:col>24</xdr:col>
          <xdr:colOff>9525</xdr:colOff>
          <xdr:row>13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venir Next LT Pro"/>
                </a:rPr>
                <a:t>Inserisci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14</xdr:row>
          <xdr:rowOff>0</xdr:rowOff>
        </xdr:from>
        <xdr:to>
          <xdr:col>24</xdr:col>
          <xdr:colOff>28575</xdr:colOff>
          <xdr:row>19</xdr:row>
          <xdr:rowOff>200025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venir Next LT Pro"/>
                </a:rPr>
                <a:t>Inserisci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21</xdr:row>
          <xdr:rowOff>9525</xdr:rowOff>
        </xdr:from>
        <xdr:to>
          <xdr:col>24</xdr:col>
          <xdr:colOff>38100</xdr:colOff>
          <xdr:row>27</xdr:row>
          <xdr:rowOff>9525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venir Next LT Pro"/>
                </a:rPr>
                <a:t>Inserisci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28</xdr:row>
          <xdr:rowOff>9525</xdr:rowOff>
        </xdr:from>
        <xdr:to>
          <xdr:col>24</xdr:col>
          <xdr:colOff>47625</xdr:colOff>
          <xdr:row>34</xdr:row>
          <xdr:rowOff>9525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venir Next LT Pro"/>
                </a:rPr>
                <a:t>Inserisci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142875</xdr:colOff>
      <xdr:row>0</xdr:row>
      <xdr:rowOff>142875</xdr:rowOff>
    </xdr:from>
    <xdr:to>
      <xdr:col>22</xdr:col>
      <xdr:colOff>561975</xdr:colOff>
      <xdr:row>6</xdr:row>
      <xdr:rowOff>0</xdr:rowOff>
    </xdr:to>
    <xdr:sp macro="" textlink="">
      <xdr:nvSpPr>
        <xdr:cNvPr id="2" name="Rettangolo con angoli arrotondati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581275" y="142875"/>
          <a:ext cx="11515725" cy="1057275"/>
        </a:xfrm>
        <a:prstGeom prst="roundRect">
          <a:avLst/>
        </a:prstGeom>
        <a:solidFill>
          <a:schemeClr val="accent5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8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INSERIMENTO DATI</a:t>
          </a:r>
        </a:p>
      </xdr:txBody>
    </xdr:sp>
    <xdr:clientData/>
  </xdr:twoCellAnchor>
  <xdr:twoCellAnchor>
    <xdr:from>
      <xdr:col>4</xdr:col>
      <xdr:colOff>552450</xdr:colOff>
      <xdr:row>7</xdr:row>
      <xdr:rowOff>66675</xdr:rowOff>
    </xdr:from>
    <xdr:to>
      <xdr:col>9</xdr:col>
      <xdr:colOff>228600</xdr:colOff>
      <xdr:row>12</xdr:row>
      <xdr:rowOff>123825</xdr:rowOff>
    </xdr:to>
    <xdr:sp macro="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52450" y="1466850"/>
          <a:ext cx="2724150" cy="1057275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INSERISCI QUI</a:t>
          </a:r>
          <a:br>
            <a:rPr lang="it-IT" sz="20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</a:br>
          <a:r>
            <a:rPr lang="it-IT" sz="20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UN</a:t>
          </a:r>
          <a:r>
            <a:rPr lang="it-IT" sz="2000" b="1" cap="none" spc="50" baseline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 NUOVO CORSO</a:t>
          </a:r>
          <a:endParaRPr lang="it-IT" sz="2000" b="1" cap="none" spc="5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venir Next LT Pro" panose="020B0504020202020204" pitchFamily="34" charset="0"/>
          </a:endParaRPr>
        </a:p>
      </xdr:txBody>
    </xdr:sp>
    <xdr:clientData/>
  </xdr:twoCellAnchor>
  <xdr:twoCellAnchor>
    <xdr:from>
      <xdr:col>4</xdr:col>
      <xdr:colOff>542925</xdr:colOff>
      <xdr:row>14</xdr:row>
      <xdr:rowOff>0</xdr:rowOff>
    </xdr:from>
    <xdr:to>
      <xdr:col>9</xdr:col>
      <xdr:colOff>219075</xdr:colOff>
      <xdr:row>19</xdr:row>
      <xdr:rowOff>180975</xdr:rowOff>
    </xdr:to>
    <xdr:sp macro="" textlink="">
      <xdr:nvSpPr>
        <xdr:cNvPr id="4" name="Rettangolo con angoli arrotondati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42925" y="2800350"/>
          <a:ext cx="2724150" cy="11811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INSERISCI QUI</a:t>
          </a:r>
          <a:br>
            <a:rPr lang="it-IT" sz="20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</a:br>
          <a:r>
            <a:rPr lang="it-IT" sz="20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UN</a:t>
          </a:r>
          <a:r>
            <a:rPr lang="it-IT" sz="2000" b="1" cap="none" spc="50" baseline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 NUOVO DOCENTE</a:t>
          </a:r>
          <a:endParaRPr lang="it-IT" sz="2000" b="1" cap="none" spc="5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venir Next LT Pro" panose="020B0504020202020204" pitchFamily="34" charset="0"/>
          </a:endParaRPr>
        </a:p>
      </xdr:txBody>
    </xdr:sp>
    <xdr:clientData/>
  </xdr:twoCellAnchor>
  <xdr:twoCellAnchor>
    <xdr:from>
      <xdr:col>4</xdr:col>
      <xdr:colOff>523875</xdr:colOff>
      <xdr:row>21</xdr:row>
      <xdr:rowOff>76200</xdr:rowOff>
    </xdr:from>
    <xdr:to>
      <xdr:col>9</xdr:col>
      <xdr:colOff>200025</xdr:colOff>
      <xdr:row>26</xdr:row>
      <xdr:rowOff>133350</xdr:rowOff>
    </xdr:to>
    <xdr:sp macro="" textlink="">
      <xdr:nvSpPr>
        <xdr:cNvPr id="5" name="Rettangolo con angoli arrotondati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23875" y="4276725"/>
          <a:ext cx="2724150" cy="105727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INSERISCI QUI</a:t>
          </a:r>
          <a:br>
            <a:rPr lang="it-IT" sz="20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</a:br>
          <a:r>
            <a:rPr lang="it-IT" sz="20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UNA</a:t>
          </a:r>
          <a:r>
            <a:rPr lang="it-IT" sz="2000" b="1" cap="none" spc="50" baseline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 NUOVA SEDE</a:t>
          </a:r>
          <a:endParaRPr lang="it-IT" sz="2000" b="1" cap="none" spc="5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venir Next LT Pro" panose="020B0504020202020204" pitchFamily="34" charset="0"/>
          </a:endParaRPr>
        </a:p>
      </xdr:txBody>
    </xdr:sp>
    <xdr:clientData/>
  </xdr:twoCellAnchor>
  <xdr:twoCellAnchor>
    <xdr:from>
      <xdr:col>4</xdr:col>
      <xdr:colOff>514350</xdr:colOff>
      <xdr:row>28</xdr:row>
      <xdr:rowOff>0</xdr:rowOff>
    </xdr:from>
    <xdr:to>
      <xdr:col>9</xdr:col>
      <xdr:colOff>190500</xdr:colOff>
      <xdr:row>33</xdr:row>
      <xdr:rowOff>161925</xdr:rowOff>
    </xdr:to>
    <xdr:sp macro="" textlink="">
      <xdr:nvSpPr>
        <xdr:cNvPr id="6" name="Rettangolo con angoli arrotondati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14350" y="5600700"/>
          <a:ext cx="2724150" cy="11620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INSERISCI QUI</a:t>
          </a:r>
          <a:br>
            <a:rPr lang="it-IT" sz="20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</a:br>
          <a:r>
            <a:rPr lang="it-IT" sz="20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UNA</a:t>
          </a:r>
          <a:r>
            <a:rPr lang="it-IT" sz="2000" b="1" cap="none" spc="50" baseline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 NUOVA MATERIA</a:t>
          </a:r>
          <a:endParaRPr lang="it-IT" sz="2000" b="1" cap="none" spc="5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venir Next LT Pro" panose="020B05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6</xdr:row>
          <xdr:rowOff>200025</xdr:rowOff>
        </xdr:from>
        <xdr:to>
          <xdr:col>24</xdr:col>
          <xdr:colOff>19050</xdr:colOff>
          <xdr:row>12</xdr:row>
          <xdr:rowOff>200025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venir Next LT Pro"/>
                </a:rPr>
                <a:t>Inserisci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342901</xdr:colOff>
      <xdr:row>30</xdr:row>
      <xdr:rowOff>114301</xdr:rowOff>
    </xdr:from>
    <xdr:to>
      <xdr:col>26</xdr:col>
      <xdr:colOff>495301</xdr:colOff>
      <xdr:row>34</xdr:row>
      <xdr:rowOff>76201</xdr:rowOff>
    </xdr:to>
    <xdr:pic>
      <xdr:nvPicPr>
        <xdr:cNvPr id="8" name="Immagin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59276" y="6267451"/>
          <a:ext cx="762000" cy="76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495300</xdr:colOff>
      <xdr:row>5</xdr:row>
      <xdr:rowOff>142875</xdr:rowOff>
    </xdr:from>
    <xdr:to>
      <xdr:col>7</xdr:col>
      <xdr:colOff>228600</xdr:colOff>
      <xdr:row>8</xdr:row>
      <xdr:rowOff>257175</xdr:rowOff>
    </xdr:to>
    <xdr:sp macro="" textlink="">
      <xdr:nvSpPr>
        <xdr:cNvPr id="2" name="Rettangolo con due angoli in diagonale arrotondati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152900" y="2800350"/>
          <a:ext cx="2438400" cy="1000125"/>
        </a:xfrm>
        <a:prstGeom prst="round2DiagRect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INSERISCI QUI</a:t>
          </a:r>
        </a:p>
        <a:p>
          <a:pPr algn="ctr"/>
          <a:r>
            <a:rPr lang="it-IT" sz="20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IL DOCENTE</a:t>
          </a:r>
        </a:p>
      </xdr:txBody>
    </xdr:sp>
    <xdr:clientData/>
  </xdr:twoCellAnchor>
  <xdr:twoCellAnchor>
    <xdr:from>
      <xdr:col>10</xdr:col>
      <xdr:colOff>504825</xdr:colOff>
      <xdr:row>5</xdr:row>
      <xdr:rowOff>123825</xdr:rowOff>
    </xdr:from>
    <xdr:to>
      <xdr:col>12</xdr:col>
      <xdr:colOff>285750</xdr:colOff>
      <xdr:row>8</xdr:row>
      <xdr:rowOff>238125</xdr:rowOff>
    </xdr:to>
    <xdr:sp macro="" textlink="">
      <xdr:nvSpPr>
        <xdr:cNvPr id="4" name="Rettangolo con due angoli in diagonale arrotondati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201275" y="2781300"/>
          <a:ext cx="2438400" cy="1000125"/>
        </a:xfrm>
        <a:prstGeom prst="round2DiagRect">
          <a:avLst/>
        </a:prstGeom>
        <a:solidFill>
          <a:schemeClr val="accent5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it-IT" sz="20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  <a:ea typeface="+mn-ea"/>
              <a:cs typeface="+mn-cs"/>
            </a:rPr>
            <a:t>INSERISCI QUI</a:t>
          </a:r>
        </a:p>
        <a:p>
          <a:pPr marL="0" indent="0" algn="ctr"/>
          <a:r>
            <a:rPr lang="it-IT" sz="20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  <a:ea typeface="+mn-ea"/>
              <a:cs typeface="+mn-cs"/>
            </a:rPr>
            <a:t>IL CORSO</a:t>
          </a:r>
        </a:p>
      </xdr:txBody>
    </xdr:sp>
    <xdr:clientData/>
  </xdr:twoCellAnchor>
  <xdr:twoCellAnchor>
    <xdr:from>
      <xdr:col>5</xdr:col>
      <xdr:colOff>201706</xdr:colOff>
      <xdr:row>1</xdr:row>
      <xdr:rowOff>22411</xdr:rowOff>
    </xdr:from>
    <xdr:to>
      <xdr:col>14</xdr:col>
      <xdr:colOff>134471</xdr:colOff>
      <xdr:row>3</xdr:row>
      <xdr:rowOff>337411</xdr:rowOff>
    </xdr:to>
    <xdr:sp macro="" textlink="">
      <xdr:nvSpPr>
        <xdr:cNvPr id="6" name="Rettangolo con angoli arrotondati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249706" y="365311"/>
          <a:ext cx="11267515" cy="1000800"/>
        </a:xfrm>
        <a:prstGeom prst="round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8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RICERCA</a:t>
          </a:r>
          <a:endParaRPr lang="it-IT" sz="54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venir Next LT Pro" panose="020B0504020202020204" pitchFamily="34" charset="0"/>
          </a:endParaRPr>
        </a:p>
      </xdr:txBody>
    </xdr:sp>
    <xdr:clientData/>
  </xdr:twoCellAnchor>
  <xdr:twoCellAnchor>
    <xdr:from>
      <xdr:col>7</xdr:col>
      <xdr:colOff>352425</xdr:colOff>
      <xdr:row>6</xdr:row>
      <xdr:rowOff>266700</xdr:rowOff>
    </xdr:from>
    <xdr:to>
      <xdr:col>7</xdr:col>
      <xdr:colOff>1447800</xdr:colOff>
      <xdr:row>9</xdr:row>
      <xdr:rowOff>90488</xdr:rowOff>
    </xdr:to>
    <xdr:sp macro="" textlink="">
      <xdr:nvSpPr>
        <xdr:cNvPr id="7" name="Freccia curva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 rot="5400000">
          <a:off x="6908006" y="3026569"/>
          <a:ext cx="709613" cy="1095375"/>
        </a:xfrm>
        <a:prstGeom prst="bentArrow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it-IT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457200</xdr:colOff>
      <xdr:row>6</xdr:row>
      <xdr:rowOff>238125</xdr:rowOff>
    </xdr:from>
    <xdr:to>
      <xdr:col>12</xdr:col>
      <xdr:colOff>1552575</xdr:colOff>
      <xdr:row>9</xdr:row>
      <xdr:rowOff>61913</xdr:rowOff>
    </xdr:to>
    <xdr:sp macro="" textlink="">
      <xdr:nvSpPr>
        <xdr:cNvPr id="8" name="Freccia curv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 rot="5400000">
          <a:off x="13004006" y="2997994"/>
          <a:ext cx="709613" cy="1095375"/>
        </a:xfrm>
        <a:prstGeom prst="bentArrow">
          <a:avLst/>
        </a:prstGeom>
        <a:solidFill>
          <a:schemeClr val="accent5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it-IT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18</xdr:col>
      <xdr:colOff>85725</xdr:colOff>
      <xdr:row>17</xdr:row>
      <xdr:rowOff>285750</xdr:rowOff>
    </xdr:from>
    <xdr:to>
      <xdr:col>19</xdr:col>
      <xdr:colOff>238125</xdr:colOff>
      <xdr:row>20</xdr:row>
      <xdr:rowOff>19050</xdr:rowOff>
    </xdr:to>
    <xdr:pic>
      <xdr:nvPicPr>
        <xdr:cNvPr id="3" name="Immagin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06875" y="6181725"/>
          <a:ext cx="762000" cy="76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21166</xdr:colOff>
      <xdr:row>16</xdr:row>
      <xdr:rowOff>148166</xdr:rowOff>
    </xdr:from>
    <xdr:to>
      <xdr:col>9</xdr:col>
      <xdr:colOff>201083</xdr:colOff>
      <xdr:row>38</xdr:row>
      <xdr:rowOff>31749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CENTE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CEN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76499" y="3196166"/>
              <a:ext cx="2635250" cy="4074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>
    <xdr:from>
      <xdr:col>9</xdr:col>
      <xdr:colOff>382059</xdr:colOff>
      <xdr:row>8</xdr:row>
      <xdr:rowOff>28044</xdr:rowOff>
    </xdr:from>
    <xdr:to>
      <xdr:col>20</xdr:col>
      <xdr:colOff>349250</xdr:colOff>
      <xdr:row>38</xdr:row>
      <xdr:rowOff>31750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63500</xdr:colOff>
      <xdr:row>8</xdr:row>
      <xdr:rowOff>42334</xdr:rowOff>
    </xdr:from>
    <xdr:to>
      <xdr:col>9</xdr:col>
      <xdr:colOff>179917</xdr:colOff>
      <xdr:row>16</xdr:row>
      <xdr:rowOff>31750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EDE 1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D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18833" y="1566334"/>
              <a:ext cx="2571750" cy="15134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>
    <xdr:from>
      <xdr:col>5</xdr:col>
      <xdr:colOff>0</xdr:colOff>
      <xdr:row>1</xdr:row>
      <xdr:rowOff>148166</xdr:rowOff>
    </xdr:from>
    <xdr:to>
      <xdr:col>20</xdr:col>
      <xdr:colOff>370417</xdr:colOff>
      <xdr:row>7</xdr:row>
      <xdr:rowOff>62441</xdr:rowOff>
    </xdr:to>
    <xdr:sp macro="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455333" y="328083"/>
          <a:ext cx="10308167" cy="993775"/>
        </a:xfrm>
        <a:prstGeom prst="roundRect">
          <a:avLst/>
        </a:prstGeom>
        <a:solidFill>
          <a:schemeClr val="accent5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800" b="1">
              <a:latin typeface="Avenir Next LT Pro" panose="020B0504020202020204" pitchFamily="34" charset="0"/>
            </a:rPr>
            <a:t>PROSPETTO</a:t>
          </a:r>
          <a:r>
            <a:rPr lang="it-IT" sz="4800" b="1" baseline="0">
              <a:latin typeface="Avenir Next LT Pro" panose="020B0504020202020204" pitchFamily="34" charset="0"/>
            </a:rPr>
            <a:t> CORSI</a:t>
          </a:r>
          <a:endParaRPr lang="it-IT" sz="4800" b="1">
            <a:latin typeface="Avenir Next LT Pro" panose="020B0504020202020204" pitchFamily="34" charset="0"/>
          </a:endParaRPr>
        </a:p>
      </xdr:txBody>
    </xdr:sp>
    <xdr:clientData/>
  </xdr:twoCellAnchor>
  <xdr:twoCellAnchor editAs="oneCell">
    <xdr:from>
      <xdr:col>26</xdr:col>
      <xdr:colOff>486833</xdr:colOff>
      <xdr:row>38</xdr:row>
      <xdr:rowOff>42334</xdr:rowOff>
    </xdr:from>
    <xdr:to>
      <xdr:col>28</xdr:col>
      <xdr:colOff>21166</xdr:colOff>
      <xdr:row>42</xdr:row>
      <xdr:rowOff>84667</xdr:rowOff>
    </xdr:to>
    <xdr:pic>
      <xdr:nvPicPr>
        <xdr:cNvPr id="6" name="Immagin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79583" y="6879167"/>
          <a:ext cx="762000" cy="762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550334</xdr:colOff>
      <xdr:row>24</xdr:row>
      <xdr:rowOff>84666</xdr:rowOff>
    </xdr:from>
    <xdr:to>
      <xdr:col>14</xdr:col>
      <xdr:colOff>179798</xdr:colOff>
      <xdr:row>30</xdr:row>
      <xdr:rowOff>179916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CENTE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C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47167" y="4656666"/>
              <a:ext cx="6932083" cy="12488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556683</xdr:colOff>
      <xdr:row>31</xdr:row>
      <xdr:rowOff>84667</xdr:rowOff>
    </xdr:from>
    <xdr:to>
      <xdr:col>10</xdr:col>
      <xdr:colOff>730250</xdr:colOff>
      <xdr:row>39</xdr:row>
      <xdr:rowOff>116417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ateria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te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53516" y="5990167"/>
              <a:ext cx="3369734" cy="15557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986366</xdr:colOff>
      <xdr:row>31</xdr:row>
      <xdr:rowOff>104776</xdr:rowOff>
    </xdr:from>
    <xdr:to>
      <xdr:col>14</xdr:col>
      <xdr:colOff>137464</xdr:colOff>
      <xdr:row>39</xdr:row>
      <xdr:rowOff>95251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DE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99449" y="6010276"/>
              <a:ext cx="3469217" cy="15144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>
    <xdr:from>
      <xdr:col>7</xdr:col>
      <xdr:colOff>497417</xdr:colOff>
      <xdr:row>0</xdr:row>
      <xdr:rowOff>105833</xdr:rowOff>
    </xdr:from>
    <xdr:to>
      <xdr:col>17</xdr:col>
      <xdr:colOff>74084</xdr:colOff>
      <xdr:row>6</xdr:row>
      <xdr:rowOff>20108</xdr:rowOff>
    </xdr:to>
    <xdr:sp macro="" textlink="">
      <xdr:nvSpPr>
        <xdr:cNvPr id="9" name="Rettangolo con angoli arrotondati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97417" y="105833"/>
          <a:ext cx="10308167" cy="1057275"/>
        </a:xfrm>
        <a:prstGeom prst="roundRect">
          <a:avLst/>
        </a:prstGeom>
        <a:solidFill>
          <a:schemeClr val="accent5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800" b="1" cap="none" spc="5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venir Next LT Pro" panose="020B0504020202020204" pitchFamily="34" charset="0"/>
            </a:rPr>
            <a:t>ANALISI</a:t>
          </a:r>
          <a:endParaRPr lang="it-IT" sz="4800" b="1">
            <a:ln w="0">
              <a:solidFill>
                <a:schemeClr val="bg1"/>
              </a:solidFill>
            </a:ln>
            <a:solidFill>
              <a:schemeClr val="bg1"/>
            </a:solidFill>
            <a:latin typeface="Avenir Next LT Pro" panose="020B0504020202020204" pitchFamily="34" charset="0"/>
          </a:endParaRPr>
        </a:p>
      </xdr:txBody>
    </xdr:sp>
    <xdr:clientData/>
  </xdr:twoCellAnchor>
  <xdr:twoCellAnchor editAs="oneCell">
    <xdr:from>
      <xdr:col>22</xdr:col>
      <xdr:colOff>0</xdr:colOff>
      <xdr:row>39</xdr:row>
      <xdr:rowOff>10583</xdr:rowOff>
    </xdr:from>
    <xdr:to>
      <xdr:col>23</xdr:col>
      <xdr:colOff>148167</xdr:colOff>
      <xdr:row>43</xdr:row>
      <xdr:rowOff>52916</xdr:rowOff>
    </xdr:to>
    <xdr:pic>
      <xdr:nvPicPr>
        <xdr:cNvPr id="5" name="Immagin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23000" y="7027333"/>
          <a:ext cx="762000" cy="762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8</xdr:col>
      <xdr:colOff>482600</xdr:colOff>
      <xdr:row>16</xdr:row>
      <xdr:rowOff>63500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17</xdr:row>
      <xdr:rowOff>0</xdr:rowOff>
    </xdr:from>
    <xdr:to>
      <xdr:col>8</xdr:col>
      <xdr:colOff>482600</xdr:colOff>
      <xdr:row>31</xdr:row>
      <xdr:rowOff>63500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482600</xdr:colOff>
      <xdr:row>16</xdr:row>
      <xdr:rowOff>63500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16</xdr:col>
      <xdr:colOff>482600</xdr:colOff>
      <xdr:row>31</xdr:row>
      <xdr:rowOff>63500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2</xdr:row>
      <xdr:rowOff>2117</xdr:rowOff>
    </xdr:from>
    <xdr:to>
      <xdr:col>24</xdr:col>
      <xdr:colOff>304800</xdr:colOff>
      <xdr:row>16</xdr:row>
      <xdr:rowOff>78317</xdr:rowOff>
    </xdr:to>
    <xdr:graphicFrame macro="">
      <xdr:nvGraphicFramePr>
        <xdr:cNvPr id="6" name="Grafico 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6349</xdr:colOff>
      <xdr:row>16</xdr:row>
      <xdr:rowOff>183092</xdr:rowOff>
    </xdr:from>
    <xdr:to>
      <xdr:col>24</xdr:col>
      <xdr:colOff>311149</xdr:colOff>
      <xdr:row>31</xdr:row>
      <xdr:rowOff>68792</xdr:rowOff>
    </xdr:to>
    <xdr:graphicFrame macro="">
      <xdr:nvGraphicFramePr>
        <xdr:cNvPr id="7" name="Grafico 5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402166</xdr:colOff>
      <xdr:row>16</xdr:row>
      <xdr:rowOff>162984</xdr:rowOff>
    </xdr:from>
    <xdr:to>
      <xdr:col>32</xdr:col>
      <xdr:colOff>63499</xdr:colOff>
      <xdr:row>31</xdr:row>
      <xdr:rowOff>48684</xdr:rowOff>
    </xdr:to>
    <xdr:graphicFrame macro="">
      <xdr:nvGraphicFramePr>
        <xdr:cNvPr id="8" name="Grafico 6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402166</xdr:colOff>
      <xdr:row>1</xdr:row>
      <xdr:rowOff>173567</xdr:rowOff>
    </xdr:from>
    <xdr:to>
      <xdr:col>32</xdr:col>
      <xdr:colOff>63500</xdr:colOff>
      <xdr:row>16</xdr:row>
      <xdr:rowOff>59267</xdr:rowOff>
    </xdr:to>
    <xdr:graphicFrame macro="">
      <xdr:nvGraphicFramePr>
        <xdr:cNvPr id="9" name="Grafico 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2115</xdr:colOff>
      <xdr:row>31</xdr:row>
      <xdr:rowOff>187326</xdr:rowOff>
    </xdr:from>
    <xdr:to>
      <xdr:col>12</xdr:col>
      <xdr:colOff>211665</xdr:colOff>
      <xdr:row>38</xdr:row>
      <xdr:rowOff>52917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DOCENTE 2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CE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9616" y="6092826"/>
              <a:ext cx="6538384" cy="12625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563033</xdr:colOff>
      <xdr:row>31</xdr:row>
      <xdr:rowOff>176743</xdr:rowOff>
    </xdr:from>
    <xdr:to>
      <xdr:col>15</xdr:col>
      <xdr:colOff>550333</xdr:colOff>
      <xdr:row>38</xdr:row>
      <xdr:rowOff>74083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1" name="SEDE 2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DE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33092" y="6082243"/>
              <a:ext cx="1802653" cy="1230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277283</xdr:colOff>
      <xdr:row>31</xdr:row>
      <xdr:rowOff>176742</xdr:rowOff>
    </xdr:from>
    <xdr:to>
      <xdr:col>19</xdr:col>
      <xdr:colOff>264583</xdr:colOff>
      <xdr:row>38</xdr:row>
      <xdr:rowOff>63500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DURATA (H)"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URATA (H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7812" y="6082242"/>
              <a:ext cx="1802653" cy="12202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 editAs="oneCell">
    <xdr:from>
      <xdr:col>32</xdr:col>
      <xdr:colOff>426445</xdr:colOff>
      <xdr:row>38</xdr:row>
      <xdr:rowOff>4358</xdr:rowOff>
    </xdr:from>
    <xdr:to>
      <xdr:col>33</xdr:col>
      <xdr:colOff>574613</xdr:colOff>
      <xdr:row>42</xdr:row>
      <xdr:rowOff>4358</xdr:rowOff>
    </xdr:to>
    <xdr:pic>
      <xdr:nvPicPr>
        <xdr:cNvPr id="14" name="Immagine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98857" y="7243358"/>
          <a:ext cx="753285" cy="762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563034</xdr:colOff>
      <xdr:row>31</xdr:row>
      <xdr:rowOff>176742</xdr:rowOff>
    </xdr:from>
    <xdr:to>
      <xdr:col>25</xdr:col>
      <xdr:colOff>455084</xdr:colOff>
      <xdr:row>38</xdr:row>
      <xdr:rowOff>74083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5" name="DATA INIZIO">
              <a:extLst>
                <a:ext uri="{FF2B5EF4-FFF2-40B4-BE49-F238E27FC236}">
                  <a16:creationId xmlns:a16="http://schemas.microsoft.com/office/drawing/2014/main" id="{126F5B49-5F81-3B24-DF60-66219D3AFB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INIZI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68916" y="6082242"/>
              <a:ext cx="3522756" cy="1230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160867</xdr:colOff>
      <xdr:row>31</xdr:row>
      <xdr:rowOff>166159</xdr:rowOff>
    </xdr:from>
    <xdr:to>
      <xdr:col>31</xdr:col>
      <xdr:colOff>508000</xdr:colOff>
      <xdr:row>38</xdr:row>
      <xdr:rowOff>95250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6" name="MATERIA 1">
              <a:extLst>
                <a:ext uri="{FF2B5EF4-FFF2-40B4-BE49-F238E27FC236}">
                  <a16:creationId xmlns:a16="http://schemas.microsoft.com/office/drawing/2014/main" id="{1D834CF5-F5EC-B242-CD3A-1F2049AB6C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TERI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02573" y="6071659"/>
              <a:ext cx="3372721" cy="12625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590550</xdr:colOff>
      <xdr:row>31</xdr:row>
      <xdr:rowOff>0</xdr:rowOff>
    </xdr:from>
    <xdr:to>
      <xdr:col>25</xdr:col>
      <xdr:colOff>133350</xdr:colOff>
      <xdr:row>34</xdr:row>
      <xdr:rowOff>161925</xdr:rowOff>
    </xdr:to>
    <xdr:pic>
      <xdr:nvPicPr>
        <xdr:cNvPr id="2" name="Immagin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83425" y="6200775"/>
          <a:ext cx="762000" cy="762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447675</xdr:colOff>
      <xdr:row>31</xdr:row>
      <xdr:rowOff>142875</xdr:rowOff>
    </xdr:from>
    <xdr:to>
      <xdr:col>22</xdr:col>
      <xdr:colOff>600075</xdr:colOff>
      <xdr:row>35</xdr:row>
      <xdr:rowOff>142875</xdr:rowOff>
    </xdr:to>
    <xdr:pic>
      <xdr:nvPicPr>
        <xdr:cNvPr id="2" name="Immagin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54500" y="6200775"/>
          <a:ext cx="762000" cy="762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9525</xdr:colOff>
      <xdr:row>32</xdr:row>
      <xdr:rowOff>161925</xdr:rowOff>
    </xdr:from>
    <xdr:to>
      <xdr:col>26</xdr:col>
      <xdr:colOff>161925</xdr:colOff>
      <xdr:row>36</xdr:row>
      <xdr:rowOff>161925</xdr:rowOff>
    </xdr:to>
    <xdr:pic>
      <xdr:nvPicPr>
        <xdr:cNvPr id="2" name="Immagin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87850" y="6257925"/>
          <a:ext cx="762000" cy="762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142875</xdr:colOff>
      <xdr:row>31</xdr:row>
      <xdr:rowOff>95250</xdr:rowOff>
    </xdr:from>
    <xdr:to>
      <xdr:col>28</xdr:col>
      <xdr:colOff>295275</xdr:colOff>
      <xdr:row>35</xdr:row>
      <xdr:rowOff>95250</xdr:rowOff>
    </xdr:to>
    <xdr:pic>
      <xdr:nvPicPr>
        <xdr:cNvPr id="2" name="Immagin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97375" y="6248400"/>
          <a:ext cx="762000" cy="762000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Gabriele Antonino Pellegrino" refreshedDate="45016.731083217594" createdVersion="7" refreshedVersion="8" minRefreshableVersion="3" recordCount="0" supportSubquery="1" supportAdvancedDrill="1" xr:uid="{A536FC07-424A-41FA-BE74-E7E436852A6A}">
  <cacheSource type="external" connectionId="4"/>
  <cacheFields count="5">
    <cacheField name="[CORSI_RECUPERO].[TITOLO CORSO].[TITOLO CORSO]" caption="TITOLO CORSO" numFmtId="0" level="1">
      <sharedItems count="30">
        <s v="FISICA 3"/>
        <s v="FISICA 5"/>
        <s v="INGLESE 3"/>
        <s v="ITALIANO 3"/>
        <s v="LATINO 3"/>
        <s v="LATINO 5"/>
        <s v="MATEMATICA 3"/>
        <s v="MATEMATICA 5"/>
        <s v="FISICA 1"/>
        <s v="INGLESE 1"/>
        <s v="INGLESE 4"/>
        <s v="ITALIANO 1"/>
        <s v="ITALIANO 4"/>
        <s v="LATINO 6"/>
        <s v="MATEMATICA 1"/>
        <s v="MATEMATICA 4"/>
        <s v="FISICA 2"/>
        <s v="FISICA 4"/>
        <s v="INGLESE 2"/>
        <s v="INGLESE 5"/>
        <s v="ITALIANO 2"/>
        <s v="ITALIANO 5"/>
        <s v="LATINO 2"/>
        <s v="LATINO 4"/>
        <s v="MATEMATICA 2"/>
        <s v="FISICA 6"/>
        <s v="INGLESE 6"/>
        <s v="ITALIANO 6"/>
        <s v="LATINO 1"/>
        <s v="MATEMATICA 6"/>
      </sharedItems>
    </cacheField>
    <cacheField name="[CORSI_RECUPERO].[SEDE].[SEDE]" caption="SEDE" numFmtId="0" hierarchy="7" level="1">
      <sharedItems count="4">
        <s v="Bari"/>
        <s v="Bologna"/>
        <s v="Napoli"/>
        <s v="Online"/>
      </sharedItems>
    </cacheField>
    <cacheField name="[Measures].[Somma di PREZZO]" caption="Somma di PREZZO" numFmtId="0" hierarchy="23" level="32767"/>
    <cacheField name="[Measures].[Somma di DURATA (H)]" caption="Somma di DURATA (H)" numFmtId="0" hierarchy="25" level="32767"/>
    <cacheField name="[CORSI_RECUPERO].[DOCENTE].[DOCENTE]" caption="DOCENTE" numFmtId="0" hierarchy="6" level="1">
      <sharedItems containsSemiMixedTypes="0" containsNonDate="0" containsString="0"/>
    </cacheField>
  </cacheFields>
  <cacheHierarchies count="31">
    <cacheHierarchy uniqueName="[CORSI_RECUPERO].[TITOLO CORSO]" caption="TITOLO CORSO" attribute="1" defaultMemberUniqueName="[CORSI_RECUPERO].[TITOLO CORSO].[All]" allUniqueName="[CORSI_RECUPERO].[TITOLO CORSO].[All]" dimensionUniqueName="[CORSI_RECUPERO]" displayFolder="" count="2" memberValueDatatype="130" unbalanced="0">
      <fieldsUsage count="2">
        <fieldUsage x="-1"/>
        <fieldUsage x="0"/>
      </fieldsUsage>
    </cacheHierarchy>
    <cacheHierarchy uniqueName="[CORSI_RECUPERO].[Materia]" caption="Materia" attribute="1" defaultMemberUniqueName="[CORSI_RECUPERO].[Materia].[All]" allUniqueName="[CORSI_RECUPERO].[Materia].[All]" dimensionUniqueName="[CORSI_RECUPERO]" displayFolder="" count="0" memberValueDatatype="130" unbalanced="0"/>
    <cacheHierarchy uniqueName="[CORSI_RECUPERO].[DATA INIZIO]" caption="DATA INIZIO" attribute="1" time="1" defaultMemberUniqueName="[CORSI_RECUPERO].[DATA INIZIO].[All]" allUniqueName="[CORSI_RECUPERO].[DATA INIZIO].[All]" dimensionUniqueName="[CORSI_RECUPERO]" displayFolder="" count="0" memberValueDatatype="7" unbalanced="0"/>
    <cacheHierarchy uniqueName="[CORSI_RECUPERO].[DATA FINE]" caption="DATA FINE" attribute="1" time="1" defaultMemberUniqueName="[CORSI_RECUPERO].[DATA FINE].[All]" allUniqueName="[CORSI_RECUPERO].[DATA FINE].[All]" dimensionUniqueName="[CORSI_RECUPERO]" displayFolder="" count="0" memberValueDatatype="7" unbalanced="0"/>
    <cacheHierarchy uniqueName="[CORSI_RECUPERO].[DURATA (H)]" caption="DURATA (H)" attribute="1" defaultMemberUniqueName="[CORSI_RECUPERO].[DURATA (H)].[All]" allUniqueName="[CORSI_RECUPERO].[DURATA (H)].[All]" dimensionUniqueName="[CORSI_RECUPERO]" displayFolder="" count="0" memberValueDatatype="20" unbalanced="0"/>
    <cacheHierarchy uniqueName="[CORSI_RECUPERO].[PREZZO]" caption="PREZZO" attribute="1" defaultMemberUniqueName="[CORSI_RECUPERO].[PREZZO].[All]" allUniqueName="[CORSI_RECUPERO].[PREZZO].[All]" dimensionUniqueName="[CORSI_RECUPERO]" displayFolder="" count="0" memberValueDatatype="20" unbalanced="0"/>
    <cacheHierarchy uniqueName="[CORSI_RECUPERO].[DOCENTE]" caption="DOCENTE" attribute="1" defaultMemberUniqueName="[CORSI_RECUPERO].[DOCENTE].[All]" allUniqueName="[CORSI_RECUPERO].[DOCENTE].[All]" dimensionUniqueName="[CORSI_RECUPERO]" displayFolder="" count="2" memberValueDatatype="130" unbalanced="0">
      <fieldsUsage count="2">
        <fieldUsage x="-1"/>
        <fieldUsage x="4"/>
      </fieldsUsage>
    </cacheHierarchy>
    <cacheHierarchy uniqueName="[CORSI_RECUPERO].[SEDE]" caption="SEDE" attribute="1" defaultMemberUniqueName="[CORSI_RECUPERO].[SEDE].[All]" allUniqueName="[CORSI_RECUPERO].[SEDE].[All]" dimensionUniqueName="[CORSI_RECUPERO]" displayFolder="" count="2" memberValueDatatype="130" unbalanced="0">
      <fieldsUsage count="2">
        <fieldUsage x="-1"/>
        <fieldUsage x="1"/>
      </fieldsUsage>
    </cacheHierarchy>
    <cacheHierarchy uniqueName="[DOCENTI].[NOME E COGNOME]" caption="NOME E COGNOME" attribute="1" defaultMemberUniqueName="[DOCENTI].[NOME E COGNOME].[All]" allUniqueName="[DOCENTI].[NOME E 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RESIDENZA]" caption="CITTA' RESIDENZA" attribute="1" defaultMemberUniqueName="[DOCENTI].[CITTA' RESIDENZA].[All]" allUniqueName="[DOCENTI].[CITTA'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DOCENTI].[DATA DI NASCITA (anno)]" caption="DATA DI NASCITA (anno)" attribute="1" defaultMemberUniqueName="[DOCENTI].[DATA DI NASCITA (anno)].[All]" allUniqueName="[DOCENTI].[DATA DI NASCITA (anno)].[All]" dimensionUniqueName="[DOCENTI]" displayFolder="" count="0" memberValueDatatype="130" unbalanced="0"/>
    <cacheHierarchy uniqueName="[DOCENTI].[DATA DI NASCITA (trimestre)]" caption="DATA DI NASCITA (trimestre)" attribute="1" defaultMemberUniqueName="[DOCENTI].[DATA DI NASCITA (trimestre)].[All]" allUniqueName="[DOCENTI].[DATA DI NASCITA (trimestre)].[All]" dimensionUniqueName="[DOCENTI]" displayFolder="" count="0" memberValueDatatype="130" unbalanced="0"/>
    <cacheHierarchy uniqueName="[DOCENTI].[DATA DI NASCITA (mese)]" caption="DATA DI NASCITA (mese)" attribute="1" defaultMemberUniqueName="[DOCENTI].[DATA DI NASCITA (mese)].[All]" allUniqueName="[DOCENTI].[DATA DI NASCITA (mese)].[All]" dimensionUniqueName="[DOCENTI]" displayFolder="" count="0" memberValueDatatype="130" unbalanced="0"/>
    <cacheHierarchy uniqueName="[SEDI].[SEDE]" caption="SEDE" attribute="1" defaultMemberUniqueName="[SEDI].[SEDE].[All]" allUniqueName="[SEDI].[SEDE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 AULA]" caption="CAPIENZA AULA" attribute="1" defaultMemberUniqueName="[SEDI].[CAPIENZA AULA].[All]" allUniqueName="[SEDI].[CAPIENZA AULA].[All]" dimensionUniqueName="[SEDI]" displayFolder="" count="0" memberValueDatatype="20" unbalanced="0"/>
    <cacheHierarchy uniqueName="[DOCENTI].[DATA DI NASCITA (indice mese)]" caption="DATA DI NASCITA (indice mese)" attribute="1" defaultMemberUniqueName="[DOCENTI].[DATA DI NASCITA (indice mese)].[All]" allUniqueName="[DOCENTI].[DATA DI NASCITA (indice mese)].[All]" dimensionUniqueName="[DOCENTI]" displayFolder="" count="0" memberValueDatatype="20" unbalanced="0" hidden="1"/>
    <cacheHierarchy uniqueName="[Measures].[__XL_Count CORSI_RECUPERO]" caption="__XL_Count CORSI_RECUPERO" measure="1" displayFolder="" measureGroup="CORSI_RECUPERO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Nessuna misura definita]" caption="__Nessuna misura definita" measure="1" displayFolder="" count="0" hidden="1"/>
    <cacheHierarchy uniqueName="[Measures].[Somma di PREZZO]" caption="Somma di PREZZO" measure="1" displayFolder="" measureGroup="CORSI_RECUPER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edia di PREZZO]" caption="Media di PREZZ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a di DURATA (H)]" caption="Somma di DURATA (H)" measure="1" displayFolder="" measureGroup="CORSI_RECUPER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OCENTE]" caption="Conteggio di DOCENT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eggio di SEDE]" caption="Conteggio di SED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eggio di TITOLO CORSO]" caption="Conteggio di TITOLO CORS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eggio di Materia]" caption="Conteggio di Materia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nteggio di DATA INIZIO]" caption="Conteggio di DATA INIZI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CORSI_RECUPERO" uniqueName="[CORSI_RECUPERO]" caption="CORSI_RECUPERO"/>
    <dimension name="DOCENTI" uniqueName="[DOCENTI]" caption="DOCENTI"/>
    <dimension measure="1" name="Measures" uniqueName="[Measures]" caption="Measures"/>
    <dimension name="SEDI" uniqueName="[SEDI]" caption="SEDI"/>
  </dimensions>
  <measureGroups count="3">
    <measureGroup name="CORSI_RECUPERO" caption="CORSI_RECUPERO"/>
    <measureGroup name="DOCENTI" caption="DOCENTI"/>
    <measureGroup name="SEDI" caption="SEDI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Gabriele Antonino Pellegrino" refreshedDate="45016.731400231482" createdVersion="5" refreshedVersion="8" minRefreshableVersion="3" recordCount="0" supportSubquery="1" supportAdvancedDrill="1" xr:uid="{2EEF6219-6BE9-4518-9425-C6A04590E260}">
  <cacheSource type="external" connectionId="4"/>
  <cacheFields count="5">
    <cacheField name="[SEDI].[SEDE].[SEDE]" caption="SEDE" numFmtId="0" hierarchy="15" level="1">
      <sharedItems count="4">
        <s v="Bari"/>
        <s v="Bologna"/>
        <s v="Napoli"/>
        <s v="Online"/>
      </sharedItems>
    </cacheField>
    <cacheField name="[Measures].[Conteggio di DOCENTE]" caption="Conteggio di DOCENTE" numFmtId="0" hierarchy="26" level="32767"/>
    <cacheField name="[CORSI_RECUPERO].[DATA INIZIO].[DATA INIZIO]" caption="DATA INIZIO" numFmtId="0" hierarchy="2" level="1">
      <sharedItems containsSemiMixedTypes="0" containsNonDate="0" containsString="0"/>
    </cacheField>
    <cacheField name="[CORSI_RECUPERO].[Materia].[Materia]" caption="Materia" numFmtId="0" hierarchy="1" level="1">
      <sharedItems count="5">
        <s v="FILOSOFIA"/>
        <s v="FISICA"/>
        <s v="LETTERATURA"/>
        <s v="LINGUE"/>
        <s v="MATEMATICA"/>
      </sharedItems>
    </cacheField>
    <cacheField name="[DOCENTI].[MATERIA].[MATERIA]" caption="MATERIA" numFmtId="0" hierarchy="11" level="1">
      <sharedItems containsSemiMixedTypes="0" containsNonDate="0" containsString="0"/>
    </cacheField>
  </cacheFields>
  <cacheHierarchies count="31">
    <cacheHierarchy uniqueName="[CORSI_RECUPERO].[TITOLO CORSO]" caption="TITOLO CORSO" attribute="1" defaultMemberUniqueName="[CORSI_RECUPERO].[TITOLO CORSO].[All]" allUniqueName="[CORSI_RECUPERO].[TITOLO CORSO].[All]" dimensionUniqueName="[CORSI_RECUPERO]" displayFolder="" count="0" memberValueDatatype="130" unbalanced="0"/>
    <cacheHierarchy uniqueName="[CORSI_RECUPERO].[Materia]" caption="Materia" attribute="1" defaultMemberUniqueName="[CORSI_RECUPERO].[Materia].[All]" allUniqueName="[CORSI_RECUPERO].[Materia].[All]" dimensionUniqueName="[CORSI_RECUPERO]" displayFolder="" count="2" memberValueDatatype="130" unbalanced="0">
      <fieldsUsage count="2">
        <fieldUsage x="-1"/>
        <fieldUsage x="3"/>
      </fieldsUsage>
    </cacheHierarchy>
    <cacheHierarchy uniqueName="[CORSI_RECUPERO].[DATA INIZIO]" caption="DATA INIZIO" attribute="1" time="1" defaultMemberUniqueName="[CORSI_RECUPERO].[DATA INIZIO].[All]" allUniqueName="[CORSI_RECUPERO].[DATA INIZIO].[All]" dimensionUniqueName="[CORSI_RECUPERO]" displayFolder="" count="2" memberValueDatatype="7" unbalanced="0">
      <fieldsUsage count="2">
        <fieldUsage x="-1"/>
        <fieldUsage x="2"/>
      </fieldsUsage>
    </cacheHierarchy>
    <cacheHierarchy uniqueName="[CORSI_RECUPERO].[DATA FINE]" caption="DATA FINE" attribute="1" time="1" defaultMemberUniqueName="[CORSI_RECUPERO].[DATA FINE].[All]" allUniqueName="[CORSI_RECUPERO].[DATA FINE].[All]" dimensionUniqueName="[CORSI_RECUPERO]" displayFolder="" count="0" memberValueDatatype="7" unbalanced="0"/>
    <cacheHierarchy uniqueName="[CORSI_RECUPERO].[DURATA (H)]" caption="DURATA (H)" attribute="1" defaultMemberUniqueName="[CORSI_RECUPERO].[DURATA (H)].[All]" allUniqueName="[CORSI_RECUPERO].[DURATA (H)].[All]" dimensionUniqueName="[CORSI_RECUPERO]" displayFolder="" count="2" memberValueDatatype="20" unbalanced="0"/>
    <cacheHierarchy uniqueName="[CORSI_RECUPERO].[PREZZO]" caption="PREZZO" attribute="1" defaultMemberUniqueName="[CORSI_RECUPERO].[PREZZO].[All]" allUniqueName="[CORSI_RECUPERO].[PREZZO].[All]" dimensionUniqueName="[CORSI_RECUPERO]" displayFolder="" count="0" memberValueDatatype="20" unbalanced="0"/>
    <cacheHierarchy uniqueName="[CORSI_RECUPERO].[DOCENTE]" caption="DOCENTE" attribute="1" defaultMemberUniqueName="[CORSI_RECUPERO].[DOCENTE].[All]" allUniqueName="[CORSI_RECUPERO].[DOCENTE].[All]" dimensionUniqueName="[CORSI_RECUPERO]" displayFolder="" count="2" memberValueDatatype="130" unbalanced="0"/>
    <cacheHierarchy uniqueName="[CORSI_RECUPERO].[SEDE]" caption="SEDE" attribute="1" defaultMemberUniqueName="[CORSI_RECUPERO].[SEDE].[All]" allUniqueName="[CORSI_RECUPERO].[SEDE].[All]" dimensionUniqueName="[CORSI_RECUPERO]" displayFolder="" count="2" memberValueDatatype="130" unbalanced="0"/>
    <cacheHierarchy uniqueName="[DOCENTI].[NOME E COGNOME]" caption="NOME E COGNOME" attribute="1" defaultMemberUniqueName="[DOCENTI].[NOME E COGNOME].[All]" allUniqueName="[DOCENTI].[NOME E 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RESIDENZA]" caption="CITTA' RESIDENZA" attribute="1" defaultMemberUniqueName="[DOCENTI].[CITTA' RESIDENZA].[All]" allUniqueName="[DOCENTI].[CITTA'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2" memberValueDatatype="130" unbalanced="0">
      <fieldsUsage count="2">
        <fieldUsage x="-1"/>
        <fieldUsage x="4"/>
      </fieldsUsage>
    </cacheHierarchy>
    <cacheHierarchy uniqueName="[DOCENTI].[DATA DI NASCITA (anno)]" caption="DATA DI NASCITA (anno)" attribute="1" defaultMemberUniqueName="[DOCENTI].[DATA DI NASCITA (anno)].[All]" allUniqueName="[DOCENTI].[DATA DI NASCITA (anno)].[All]" dimensionUniqueName="[DOCENTI]" displayFolder="" count="0" memberValueDatatype="130" unbalanced="0"/>
    <cacheHierarchy uniqueName="[DOCENTI].[DATA DI NASCITA (trimestre)]" caption="DATA DI NASCITA (trimestre)" attribute="1" defaultMemberUniqueName="[DOCENTI].[DATA DI NASCITA (trimestre)].[All]" allUniqueName="[DOCENTI].[DATA DI NASCITA (trimestre)].[All]" dimensionUniqueName="[DOCENTI]" displayFolder="" count="0" memberValueDatatype="130" unbalanced="0"/>
    <cacheHierarchy uniqueName="[DOCENTI].[DATA DI NASCITA (mese)]" caption="DATA DI NASCITA (mese)" attribute="1" defaultMemberUniqueName="[DOCENTI].[DATA DI NASCITA (mese)].[All]" allUniqueName="[DOCENTI].[DATA DI NASCITA (mese)].[All]" dimensionUniqueName="[DOCENTI]" displayFolder="" count="0" memberValueDatatype="130" unbalanced="0"/>
    <cacheHierarchy uniqueName="[SEDI].[SEDE]" caption="SEDE" attribute="1" defaultMemberUniqueName="[SEDI].[SEDE].[All]" allUniqueName="[SEDI].[SEDE].[All]" dimensionUniqueName="[SEDI]" displayFolder="" count="2" memberValueDatatype="130" unbalanced="0">
      <fieldsUsage count="2">
        <fieldUsage x="-1"/>
        <fieldUsage x="0"/>
      </fieldsUsage>
    </cacheHierarchy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 AULA]" caption="CAPIENZA AULA" attribute="1" defaultMemberUniqueName="[SEDI].[CAPIENZA AULA].[All]" allUniqueName="[SEDI].[CAPIENZA AULA].[All]" dimensionUniqueName="[SEDI]" displayFolder="" count="0" memberValueDatatype="20" unbalanced="0"/>
    <cacheHierarchy uniqueName="[DOCENTI].[DATA DI NASCITA (indice mese)]" caption="DATA DI NASCITA (indice mese)" attribute="1" defaultMemberUniqueName="[DOCENTI].[DATA DI NASCITA (indice mese)].[All]" allUniqueName="[DOCENTI].[DATA DI NASCITA (indice mese)].[All]" dimensionUniqueName="[DOCENTI]" displayFolder="" count="0" memberValueDatatype="20" unbalanced="0" hidden="1"/>
    <cacheHierarchy uniqueName="[Measures].[__XL_Count CORSI_RECUPERO]" caption="__XL_Count CORSI_RECUPERO" measure="1" displayFolder="" measureGroup="CORSI_RECUPERO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Nessuna misura definita]" caption="__Nessuna misura definita" measure="1" displayFolder="" count="0" hidden="1"/>
    <cacheHierarchy uniqueName="[Measures].[Somma di PREZZO]" caption="Somma di PREZZ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edia di PREZZO]" caption="Media di PREZZ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a di DURATA (H)]" caption="Somma di DURATA (H)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OCENTE]" caption="Conteggio di DOCENTE" measure="1" displayFolder="" measureGroup="CORSI_RECUPER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eggio di SEDE]" caption="Conteggio di SED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eggio di TITOLO CORSO]" caption="Conteggio di TITOLO CORS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eggio di Materia]" caption="Conteggio di Materia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nteggio di DATA INIZIO]" caption="Conteggio di DATA INIZI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CORSI_RECUPERO" uniqueName="[CORSI_RECUPERO]" caption="CORSI_RECUPERO"/>
    <dimension name="DOCENTI" uniqueName="[DOCENTI]" caption="DOCENTI"/>
    <dimension measure="1" name="Measures" uniqueName="[Measures]" caption="Measures"/>
    <dimension name="SEDI" uniqueName="[SEDI]" caption="SEDI"/>
  </dimensions>
  <measureGroups count="3">
    <measureGroup name="CORSI_RECUPERO" caption="CORSI_RECUPERO"/>
    <measureGroup name="DOCENTI" caption="DOCENTI"/>
    <measureGroup name="SEDI" caption="SEDI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Gabriele Antonino Pellegrino" refreshedDate="45016.731396643518" createdVersion="5" refreshedVersion="8" minRefreshableVersion="3" recordCount="0" supportSubquery="1" supportAdvancedDrill="1" xr:uid="{5F5F90D5-31E3-4FD7-81DD-6C0488001EC4}">
  <cacheSource type="external" connectionId="4"/>
  <cacheFields count="5">
    <cacheField name="[CORSI_RECUPERO].[DOCENTE].[DOCENTE]" caption="DOCENTE" numFmtId="0" hierarchy="6" level="1">
      <sharedItems count="15">
        <s v="Concetto Strano"/>
        <s v="Emiliana Lasagna"/>
        <s v="Ennio Annio"/>
        <s v="Feve Andrea"/>
        <s v="Fove Anna"/>
        <s v="Franco Forte"/>
        <s v="Giulia Gorgini"/>
        <s v="Lindo Ferretti"/>
        <s v="Maccio Capatonda"/>
        <s v="Manno Assunta"/>
        <s v="Perla Madonna"/>
        <s v="Pippo Longhi"/>
        <s v="Pluto Marini"/>
        <s v="Rosa Fiocco"/>
        <s v="Santa Pazienza"/>
      </sharedItems>
    </cacheField>
    <cacheField name="[Measures].[Media di PREZZO]" caption="Media di PREZZO" numFmtId="0" hierarchy="24" level="32767"/>
    <cacheField name="[CORSI_RECUPERO].[DATA INIZIO].[DATA INIZIO]" caption="DATA INIZIO" numFmtId="0" hierarchy="2" level="1">
      <sharedItems containsSemiMixedTypes="0" containsNonDate="0" containsString="0"/>
    </cacheField>
    <cacheField name="[Measures].[Somma di PREZZO]" caption="Somma di PREZZO" numFmtId="0" hierarchy="23" level="32767"/>
    <cacheField name="[DOCENTI].[MATERIA].[MATERIA]" caption="MATERIA" numFmtId="0" hierarchy="11" level="1">
      <sharedItems containsSemiMixedTypes="0" containsNonDate="0" containsString="0"/>
    </cacheField>
  </cacheFields>
  <cacheHierarchies count="31">
    <cacheHierarchy uniqueName="[CORSI_RECUPERO].[TITOLO CORSO]" caption="TITOLO CORSO" attribute="1" defaultMemberUniqueName="[CORSI_RECUPERO].[TITOLO CORSO].[All]" allUniqueName="[CORSI_RECUPERO].[TITOLO CORSO].[All]" dimensionUniqueName="[CORSI_RECUPERO]" displayFolder="" count="0" memberValueDatatype="130" unbalanced="0"/>
    <cacheHierarchy uniqueName="[CORSI_RECUPERO].[Materia]" caption="Materia" attribute="1" defaultMemberUniqueName="[CORSI_RECUPERO].[Materia].[All]" allUniqueName="[CORSI_RECUPERO].[Materia].[All]" dimensionUniqueName="[CORSI_RECUPERO]" displayFolder="" count="2" memberValueDatatype="130" unbalanced="0"/>
    <cacheHierarchy uniqueName="[CORSI_RECUPERO].[DATA INIZIO]" caption="DATA INIZIO" attribute="1" time="1" defaultMemberUniqueName="[CORSI_RECUPERO].[DATA INIZIO].[All]" allUniqueName="[CORSI_RECUPERO].[DATA INIZIO].[All]" dimensionUniqueName="[CORSI_RECUPERO]" displayFolder="" count="2" memberValueDatatype="7" unbalanced="0">
      <fieldsUsage count="2">
        <fieldUsage x="-1"/>
        <fieldUsage x="2"/>
      </fieldsUsage>
    </cacheHierarchy>
    <cacheHierarchy uniqueName="[CORSI_RECUPERO].[DATA FINE]" caption="DATA FINE" attribute="1" time="1" defaultMemberUniqueName="[CORSI_RECUPERO].[DATA FINE].[All]" allUniqueName="[CORSI_RECUPERO].[DATA FINE].[All]" dimensionUniqueName="[CORSI_RECUPERO]" displayFolder="" count="0" memberValueDatatype="7" unbalanced="0"/>
    <cacheHierarchy uniqueName="[CORSI_RECUPERO].[DURATA (H)]" caption="DURATA (H)" attribute="1" defaultMemberUniqueName="[CORSI_RECUPERO].[DURATA (H)].[All]" allUniqueName="[CORSI_RECUPERO].[DURATA (H)].[All]" dimensionUniqueName="[CORSI_RECUPERO]" displayFolder="" count="2" memberValueDatatype="20" unbalanced="0"/>
    <cacheHierarchy uniqueName="[CORSI_RECUPERO].[PREZZO]" caption="PREZZO" attribute="1" defaultMemberUniqueName="[CORSI_RECUPERO].[PREZZO].[All]" allUniqueName="[CORSI_RECUPERO].[PREZZO].[All]" dimensionUniqueName="[CORSI_RECUPERO]" displayFolder="" count="0" memberValueDatatype="20" unbalanced="0"/>
    <cacheHierarchy uniqueName="[CORSI_RECUPERO].[DOCENTE]" caption="DOCENTE" attribute="1" defaultMemberUniqueName="[CORSI_RECUPERO].[DOCENTE].[All]" allUniqueName="[CORSI_RECUPERO].[DOCENTE].[All]" dimensionUniqueName="[CORSI_RECUPERO]" displayFolder="" count="2" memberValueDatatype="130" unbalanced="0">
      <fieldsUsage count="2">
        <fieldUsage x="-1"/>
        <fieldUsage x="0"/>
      </fieldsUsage>
    </cacheHierarchy>
    <cacheHierarchy uniqueName="[CORSI_RECUPERO].[SEDE]" caption="SEDE" attribute="1" defaultMemberUniqueName="[CORSI_RECUPERO].[SEDE].[All]" allUniqueName="[CORSI_RECUPERO].[SEDE].[All]" dimensionUniqueName="[CORSI_RECUPERO]" displayFolder="" count="2" memberValueDatatype="130" unbalanced="0"/>
    <cacheHierarchy uniqueName="[DOCENTI].[NOME E COGNOME]" caption="NOME E COGNOME" attribute="1" defaultMemberUniqueName="[DOCENTI].[NOME E COGNOME].[All]" allUniqueName="[DOCENTI].[NOME E 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RESIDENZA]" caption="CITTA' RESIDENZA" attribute="1" defaultMemberUniqueName="[DOCENTI].[CITTA' RESIDENZA].[All]" allUniqueName="[DOCENTI].[CITTA'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2" memberValueDatatype="130" unbalanced="0">
      <fieldsUsage count="2">
        <fieldUsage x="-1"/>
        <fieldUsage x="4"/>
      </fieldsUsage>
    </cacheHierarchy>
    <cacheHierarchy uniqueName="[DOCENTI].[DATA DI NASCITA (anno)]" caption="DATA DI NASCITA (anno)" attribute="1" defaultMemberUniqueName="[DOCENTI].[DATA DI NASCITA (anno)].[All]" allUniqueName="[DOCENTI].[DATA DI NASCITA (anno)].[All]" dimensionUniqueName="[DOCENTI]" displayFolder="" count="0" memberValueDatatype="130" unbalanced="0"/>
    <cacheHierarchy uniqueName="[DOCENTI].[DATA DI NASCITA (trimestre)]" caption="DATA DI NASCITA (trimestre)" attribute="1" defaultMemberUniqueName="[DOCENTI].[DATA DI NASCITA (trimestre)].[All]" allUniqueName="[DOCENTI].[DATA DI NASCITA (trimestre)].[All]" dimensionUniqueName="[DOCENTI]" displayFolder="" count="0" memberValueDatatype="130" unbalanced="0"/>
    <cacheHierarchy uniqueName="[DOCENTI].[DATA DI NASCITA (mese)]" caption="DATA DI NASCITA (mese)" attribute="1" defaultMemberUniqueName="[DOCENTI].[DATA DI NASCITA (mese)].[All]" allUniqueName="[DOCENTI].[DATA DI NASCITA (mese)].[All]" dimensionUniqueName="[DOCENTI]" displayFolder="" count="0" memberValueDatatype="130" unbalanced="0"/>
    <cacheHierarchy uniqueName="[SEDI].[SEDE]" caption="SEDE" attribute="1" defaultMemberUniqueName="[SEDI].[SEDE].[All]" allUniqueName="[SEDI].[SEDE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 AULA]" caption="CAPIENZA AULA" attribute="1" defaultMemberUniqueName="[SEDI].[CAPIENZA AULA].[All]" allUniqueName="[SEDI].[CAPIENZA AULA].[All]" dimensionUniqueName="[SEDI]" displayFolder="" count="0" memberValueDatatype="20" unbalanced="0"/>
    <cacheHierarchy uniqueName="[DOCENTI].[DATA DI NASCITA (indice mese)]" caption="DATA DI NASCITA (indice mese)" attribute="1" defaultMemberUniqueName="[DOCENTI].[DATA DI NASCITA (indice mese)].[All]" allUniqueName="[DOCENTI].[DATA DI NASCITA (indice mese)].[All]" dimensionUniqueName="[DOCENTI]" displayFolder="" count="0" memberValueDatatype="20" unbalanced="0" hidden="1"/>
    <cacheHierarchy uniqueName="[Measures].[__XL_Count CORSI_RECUPERO]" caption="__XL_Count CORSI_RECUPERO" measure="1" displayFolder="" measureGroup="CORSI_RECUPERO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Nessuna misura definita]" caption="__Nessuna misura definita" measure="1" displayFolder="" count="0" hidden="1"/>
    <cacheHierarchy uniqueName="[Measures].[Somma di PREZZO]" caption="Somma di PREZZO" measure="1" displayFolder="" measureGroup="CORSI_RECUPER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edia di PREZZO]" caption="Media di PREZZO" measure="1" displayFolder="" measureGroup="CORSI_RECUPER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a di DURATA (H)]" caption="Somma di DURATA (H)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OCENTE]" caption="Conteggio di DOCENT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eggio di SEDE]" caption="Conteggio di SED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eggio di TITOLO CORSO]" caption="Conteggio di TITOLO CORS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eggio di Materia]" caption="Conteggio di Materia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nteggio di DATA INIZIO]" caption="Conteggio di DATA INIZI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CORSI_RECUPERO" uniqueName="[CORSI_RECUPERO]" caption="CORSI_RECUPERO"/>
    <dimension name="DOCENTI" uniqueName="[DOCENTI]" caption="DOCENTI"/>
    <dimension measure="1" name="Measures" uniqueName="[Measures]" caption="Measures"/>
    <dimension name="SEDI" uniqueName="[SEDI]" caption="SEDI"/>
  </dimensions>
  <measureGroups count="3">
    <measureGroup name="CORSI_RECUPERO" caption="CORSI_RECUPERO"/>
    <measureGroup name="DOCENTI" caption="DOCENTI"/>
    <measureGroup name="SEDI" caption="SEDI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Gabriele Antonino Pellegrino" refreshedDate="45016.731397800926" createdVersion="5" refreshedVersion="8" minRefreshableVersion="3" recordCount="0" supportSubquery="1" supportAdvancedDrill="1" xr:uid="{64676AE0-75B8-4283-9D88-642AE181B878}">
  <cacheSource type="external" connectionId="4"/>
  <cacheFields count="4">
    <cacheField name="[CORSI_RECUPERO].[DOCENTE].[DOCENTE]" caption="DOCENTE" numFmtId="0" hierarchy="6" level="1">
      <sharedItems count="15">
        <s v="Concetto Strano"/>
        <s v="Emiliana Lasagna"/>
        <s v="Ennio Annio"/>
        <s v="Feve Andrea"/>
        <s v="Fove Anna"/>
        <s v="Franco Forte"/>
        <s v="Giulia Gorgini"/>
        <s v="Lindo Ferretti"/>
        <s v="Maccio Capatonda"/>
        <s v="Manno Assunta"/>
        <s v="Perla Madonna"/>
        <s v="Pippo Longhi"/>
        <s v="Pluto Marini"/>
        <s v="Rosa Fiocco"/>
        <s v="Santa Pazienza"/>
      </sharedItems>
    </cacheField>
    <cacheField name="[Measures].[Somma di DURATA (H)]" caption="Somma di DURATA (H)" numFmtId="0" hierarchy="25" level="32767"/>
    <cacheField name="[CORSI_RECUPERO].[DATA INIZIO].[DATA INIZIO]" caption="DATA INIZIO" numFmtId="0" hierarchy="2" level="1">
      <sharedItems containsSemiMixedTypes="0" containsNonDate="0" containsString="0"/>
    </cacheField>
    <cacheField name="[DOCENTI].[MATERIA].[MATERIA]" caption="MATERIA" numFmtId="0" hierarchy="11" level="1">
      <sharedItems containsSemiMixedTypes="0" containsNonDate="0" containsString="0"/>
    </cacheField>
  </cacheFields>
  <cacheHierarchies count="31">
    <cacheHierarchy uniqueName="[CORSI_RECUPERO].[TITOLO CORSO]" caption="TITOLO CORSO" attribute="1" defaultMemberUniqueName="[CORSI_RECUPERO].[TITOLO CORSO].[All]" allUniqueName="[CORSI_RECUPERO].[TITOLO CORSO].[All]" dimensionUniqueName="[CORSI_RECUPERO]" displayFolder="" count="0" memberValueDatatype="130" unbalanced="0"/>
    <cacheHierarchy uniqueName="[CORSI_RECUPERO].[Materia]" caption="Materia" attribute="1" defaultMemberUniqueName="[CORSI_RECUPERO].[Materia].[All]" allUniqueName="[CORSI_RECUPERO].[Materia].[All]" dimensionUniqueName="[CORSI_RECUPERO]" displayFolder="" count="2" memberValueDatatype="130" unbalanced="0"/>
    <cacheHierarchy uniqueName="[CORSI_RECUPERO].[DATA INIZIO]" caption="DATA INIZIO" attribute="1" time="1" defaultMemberUniqueName="[CORSI_RECUPERO].[DATA INIZIO].[All]" allUniqueName="[CORSI_RECUPERO].[DATA INIZIO].[All]" dimensionUniqueName="[CORSI_RECUPERO]" displayFolder="" count="2" memberValueDatatype="7" unbalanced="0">
      <fieldsUsage count="2">
        <fieldUsage x="-1"/>
        <fieldUsage x="2"/>
      </fieldsUsage>
    </cacheHierarchy>
    <cacheHierarchy uniqueName="[CORSI_RECUPERO].[DATA FINE]" caption="DATA FINE" attribute="1" time="1" defaultMemberUniqueName="[CORSI_RECUPERO].[DATA FINE].[All]" allUniqueName="[CORSI_RECUPERO].[DATA FINE].[All]" dimensionUniqueName="[CORSI_RECUPERO]" displayFolder="" count="0" memberValueDatatype="7" unbalanced="0"/>
    <cacheHierarchy uniqueName="[CORSI_RECUPERO].[DURATA (H)]" caption="DURATA (H)" attribute="1" defaultMemberUniqueName="[CORSI_RECUPERO].[DURATA (H)].[All]" allUniqueName="[CORSI_RECUPERO].[DURATA (H)].[All]" dimensionUniqueName="[CORSI_RECUPERO]" displayFolder="" count="2" memberValueDatatype="20" unbalanced="0"/>
    <cacheHierarchy uniqueName="[CORSI_RECUPERO].[PREZZO]" caption="PREZZO" attribute="1" defaultMemberUniqueName="[CORSI_RECUPERO].[PREZZO].[All]" allUniqueName="[CORSI_RECUPERO].[PREZZO].[All]" dimensionUniqueName="[CORSI_RECUPERO]" displayFolder="" count="0" memberValueDatatype="20" unbalanced="0"/>
    <cacheHierarchy uniqueName="[CORSI_RECUPERO].[DOCENTE]" caption="DOCENTE" attribute="1" defaultMemberUniqueName="[CORSI_RECUPERO].[DOCENTE].[All]" allUniqueName="[CORSI_RECUPERO].[DOCENTE].[All]" dimensionUniqueName="[CORSI_RECUPERO]" displayFolder="" count="2" memberValueDatatype="130" unbalanced="0">
      <fieldsUsage count="2">
        <fieldUsage x="-1"/>
        <fieldUsage x="0"/>
      </fieldsUsage>
    </cacheHierarchy>
    <cacheHierarchy uniqueName="[CORSI_RECUPERO].[SEDE]" caption="SEDE" attribute="1" defaultMemberUniqueName="[CORSI_RECUPERO].[SEDE].[All]" allUniqueName="[CORSI_RECUPERO].[SEDE].[All]" dimensionUniqueName="[CORSI_RECUPERO]" displayFolder="" count="2" memberValueDatatype="130" unbalanced="0"/>
    <cacheHierarchy uniqueName="[DOCENTI].[NOME E COGNOME]" caption="NOME E COGNOME" attribute="1" defaultMemberUniqueName="[DOCENTI].[NOME E COGNOME].[All]" allUniqueName="[DOCENTI].[NOME E 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RESIDENZA]" caption="CITTA' RESIDENZA" attribute="1" defaultMemberUniqueName="[DOCENTI].[CITTA' RESIDENZA].[All]" allUniqueName="[DOCENTI].[CITTA'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2" memberValueDatatype="130" unbalanced="0">
      <fieldsUsage count="2">
        <fieldUsage x="-1"/>
        <fieldUsage x="3"/>
      </fieldsUsage>
    </cacheHierarchy>
    <cacheHierarchy uniqueName="[DOCENTI].[DATA DI NASCITA (anno)]" caption="DATA DI NASCITA (anno)" attribute="1" defaultMemberUniqueName="[DOCENTI].[DATA DI NASCITA (anno)].[All]" allUniqueName="[DOCENTI].[DATA DI NASCITA (anno)].[All]" dimensionUniqueName="[DOCENTI]" displayFolder="" count="0" memberValueDatatype="130" unbalanced="0"/>
    <cacheHierarchy uniqueName="[DOCENTI].[DATA DI NASCITA (trimestre)]" caption="DATA DI NASCITA (trimestre)" attribute="1" defaultMemberUniqueName="[DOCENTI].[DATA DI NASCITA (trimestre)].[All]" allUniqueName="[DOCENTI].[DATA DI NASCITA (trimestre)].[All]" dimensionUniqueName="[DOCENTI]" displayFolder="" count="0" memberValueDatatype="130" unbalanced="0"/>
    <cacheHierarchy uniqueName="[DOCENTI].[DATA DI NASCITA (mese)]" caption="DATA DI NASCITA (mese)" attribute="1" defaultMemberUniqueName="[DOCENTI].[DATA DI NASCITA (mese)].[All]" allUniqueName="[DOCENTI].[DATA DI NASCITA (mese)].[All]" dimensionUniqueName="[DOCENTI]" displayFolder="" count="0" memberValueDatatype="130" unbalanced="0"/>
    <cacheHierarchy uniqueName="[SEDI].[SEDE]" caption="SEDE" attribute="1" defaultMemberUniqueName="[SEDI].[SEDE].[All]" allUniqueName="[SEDI].[SEDE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 AULA]" caption="CAPIENZA AULA" attribute="1" defaultMemberUniqueName="[SEDI].[CAPIENZA AULA].[All]" allUniqueName="[SEDI].[CAPIENZA AULA].[All]" dimensionUniqueName="[SEDI]" displayFolder="" count="0" memberValueDatatype="20" unbalanced="0"/>
    <cacheHierarchy uniqueName="[DOCENTI].[DATA DI NASCITA (indice mese)]" caption="DATA DI NASCITA (indice mese)" attribute="1" defaultMemberUniqueName="[DOCENTI].[DATA DI NASCITA (indice mese)].[All]" allUniqueName="[DOCENTI].[DATA DI NASCITA (indice mese)].[All]" dimensionUniqueName="[DOCENTI]" displayFolder="" count="0" memberValueDatatype="20" unbalanced="0" hidden="1"/>
    <cacheHierarchy uniqueName="[Measures].[__XL_Count CORSI_RECUPERO]" caption="__XL_Count CORSI_RECUPERO" measure="1" displayFolder="" measureGroup="CORSI_RECUPERO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Nessuna misura definita]" caption="__Nessuna misura definita" measure="1" displayFolder="" count="0" hidden="1"/>
    <cacheHierarchy uniqueName="[Measures].[Somma di PREZZO]" caption="Somma di PREZZ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edia di PREZZO]" caption="Media di PREZZ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a di DURATA (H)]" caption="Somma di DURATA (H)" measure="1" displayFolder="" measureGroup="CORSI_RECUPER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OCENTE]" caption="Conteggio di DOCENT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eggio di SEDE]" caption="Conteggio di SED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eggio di TITOLO CORSO]" caption="Conteggio di TITOLO CORS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eggio di Materia]" caption="Conteggio di Materia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nteggio di DATA INIZIO]" caption="Conteggio di DATA INIZI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CORSI_RECUPERO" uniqueName="[CORSI_RECUPERO]" caption="CORSI_RECUPERO"/>
    <dimension name="DOCENTI" uniqueName="[DOCENTI]" caption="DOCENTI"/>
    <dimension measure="1" name="Measures" uniqueName="[Measures]" caption="Measures"/>
    <dimension name="SEDI" uniqueName="[SEDI]" caption="SEDI"/>
  </dimensions>
  <measureGroups count="3">
    <measureGroup name="CORSI_RECUPERO" caption="CORSI_RECUPERO"/>
    <measureGroup name="DOCENTI" caption="DOCENTI"/>
    <measureGroup name="SEDI" caption="SEDI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Gabriele Antonino Pellegrino" refreshedDate="45016.731398958334" createdVersion="5" refreshedVersion="8" minRefreshableVersion="3" recordCount="0" supportSubquery="1" supportAdvancedDrill="1" xr:uid="{A0F5AA03-5F10-49BA-810F-A0E325B8CE3C}">
  <cacheSource type="external" connectionId="4"/>
  <cacheFields count="4">
    <cacheField name="[Measures].[Somma di DURATA (H)]" caption="Somma di DURATA (H)" numFmtId="0" hierarchy="25" level="32767"/>
    <cacheField name="[SEDI].[SEDE].[SEDE]" caption="SEDE" numFmtId="0" hierarchy="15" level="1">
      <sharedItems count="4">
        <s v="Bari"/>
        <s v="Bologna"/>
        <s v="Napoli"/>
        <s v="Online"/>
      </sharedItems>
    </cacheField>
    <cacheField name="[CORSI_RECUPERO].[DATA INIZIO].[DATA INIZIO]" caption="DATA INIZIO" numFmtId="0" hierarchy="2" level="1">
      <sharedItems containsSemiMixedTypes="0" containsNonDate="0" containsString="0"/>
    </cacheField>
    <cacheField name="[DOCENTI].[MATERIA].[MATERIA]" caption="MATERIA" numFmtId="0" hierarchy="11" level="1">
      <sharedItems containsSemiMixedTypes="0" containsNonDate="0" containsString="0"/>
    </cacheField>
  </cacheFields>
  <cacheHierarchies count="31">
    <cacheHierarchy uniqueName="[CORSI_RECUPERO].[TITOLO CORSO]" caption="TITOLO CORSO" attribute="1" defaultMemberUniqueName="[CORSI_RECUPERO].[TITOLO CORSO].[All]" allUniqueName="[CORSI_RECUPERO].[TITOLO CORSO].[All]" dimensionUniqueName="[CORSI_RECUPERO]" displayFolder="" count="0" memberValueDatatype="130" unbalanced="0"/>
    <cacheHierarchy uniqueName="[CORSI_RECUPERO].[Materia]" caption="Materia" attribute="1" defaultMemberUniqueName="[CORSI_RECUPERO].[Materia].[All]" allUniqueName="[CORSI_RECUPERO].[Materia].[All]" dimensionUniqueName="[CORSI_RECUPERO]" displayFolder="" count="2" memberValueDatatype="130" unbalanced="0"/>
    <cacheHierarchy uniqueName="[CORSI_RECUPERO].[DATA INIZIO]" caption="DATA INIZIO" attribute="1" time="1" defaultMemberUniqueName="[CORSI_RECUPERO].[DATA INIZIO].[All]" allUniqueName="[CORSI_RECUPERO].[DATA INIZIO].[All]" dimensionUniqueName="[CORSI_RECUPERO]" displayFolder="" count="2" memberValueDatatype="7" unbalanced="0">
      <fieldsUsage count="2">
        <fieldUsage x="-1"/>
        <fieldUsage x="2"/>
      </fieldsUsage>
    </cacheHierarchy>
    <cacheHierarchy uniqueName="[CORSI_RECUPERO].[DATA FINE]" caption="DATA FINE" attribute="1" time="1" defaultMemberUniqueName="[CORSI_RECUPERO].[DATA FINE].[All]" allUniqueName="[CORSI_RECUPERO].[DATA FINE].[All]" dimensionUniqueName="[CORSI_RECUPERO]" displayFolder="" count="0" memberValueDatatype="7" unbalanced="0"/>
    <cacheHierarchy uniqueName="[CORSI_RECUPERO].[DURATA (H)]" caption="DURATA (H)" attribute="1" defaultMemberUniqueName="[CORSI_RECUPERO].[DURATA (H)].[All]" allUniqueName="[CORSI_RECUPERO].[DURATA (H)].[All]" dimensionUniqueName="[CORSI_RECUPERO]" displayFolder="" count="2" memberValueDatatype="20" unbalanced="0"/>
    <cacheHierarchy uniqueName="[CORSI_RECUPERO].[PREZZO]" caption="PREZZO" attribute="1" defaultMemberUniqueName="[CORSI_RECUPERO].[PREZZO].[All]" allUniqueName="[CORSI_RECUPERO].[PREZZO].[All]" dimensionUniqueName="[CORSI_RECUPERO]" displayFolder="" count="0" memberValueDatatype="20" unbalanced="0"/>
    <cacheHierarchy uniqueName="[CORSI_RECUPERO].[DOCENTE]" caption="DOCENTE" attribute="1" defaultMemberUniqueName="[CORSI_RECUPERO].[DOCENTE].[All]" allUniqueName="[CORSI_RECUPERO].[DOCENTE].[All]" dimensionUniqueName="[CORSI_RECUPERO]" displayFolder="" count="2" memberValueDatatype="130" unbalanced="0"/>
    <cacheHierarchy uniqueName="[CORSI_RECUPERO].[SEDE]" caption="SEDE" attribute="1" defaultMemberUniqueName="[CORSI_RECUPERO].[SEDE].[All]" allUniqueName="[CORSI_RECUPERO].[SEDE].[All]" dimensionUniqueName="[CORSI_RECUPERO]" displayFolder="" count="2" memberValueDatatype="130" unbalanced="0"/>
    <cacheHierarchy uniqueName="[DOCENTI].[NOME E COGNOME]" caption="NOME E COGNOME" attribute="1" defaultMemberUniqueName="[DOCENTI].[NOME E COGNOME].[All]" allUniqueName="[DOCENTI].[NOME E 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RESIDENZA]" caption="CITTA' RESIDENZA" attribute="1" defaultMemberUniqueName="[DOCENTI].[CITTA' RESIDENZA].[All]" allUniqueName="[DOCENTI].[CITTA'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2" memberValueDatatype="130" unbalanced="0">
      <fieldsUsage count="2">
        <fieldUsage x="-1"/>
        <fieldUsage x="3"/>
      </fieldsUsage>
    </cacheHierarchy>
    <cacheHierarchy uniqueName="[DOCENTI].[DATA DI NASCITA (anno)]" caption="DATA DI NASCITA (anno)" attribute="1" defaultMemberUniqueName="[DOCENTI].[DATA DI NASCITA (anno)].[All]" allUniqueName="[DOCENTI].[DATA DI NASCITA (anno)].[All]" dimensionUniqueName="[DOCENTI]" displayFolder="" count="0" memberValueDatatype="130" unbalanced="0"/>
    <cacheHierarchy uniqueName="[DOCENTI].[DATA DI NASCITA (trimestre)]" caption="DATA DI NASCITA (trimestre)" attribute="1" defaultMemberUniqueName="[DOCENTI].[DATA DI NASCITA (trimestre)].[All]" allUniqueName="[DOCENTI].[DATA DI NASCITA (trimestre)].[All]" dimensionUniqueName="[DOCENTI]" displayFolder="" count="0" memberValueDatatype="130" unbalanced="0"/>
    <cacheHierarchy uniqueName="[DOCENTI].[DATA DI NASCITA (mese)]" caption="DATA DI NASCITA (mese)" attribute="1" defaultMemberUniqueName="[DOCENTI].[DATA DI NASCITA (mese)].[All]" allUniqueName="[DOCENTI].[DATA DI NASCITA (mese)].[All]" dimensionUniqueName="[DOCENTI]" displayFolder="" count="0" memberValueDatatype="130" unbalanced="0"/>
    <cacheHierarchy uniqueName="[SEDI].[SEDE]" caption="SEDE" attribute="1" defaultMemberUniqueName="[SEDI].[SEDE].[All]" allUniqueName="[SEDI].[SEDE].[All]" dimensionUniqueName="[SEDI]" displayFolder="" count="2" memberValueDatatype="130" unbalanced="0">
      <fieldsUsage count="2">
        <fieldUsage x="-1"/>
        <fieldUsage x="1"/>
      </fieldsUsage>
    </cacheHierarchy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 AULA]" caption="CAPIENZA AULA" attribute="1" defaultMemberUniqueName="[SEDI].[CAPIENZA AULA].[All]" allUniqueName="[SEDI].[CAPIENZA AULA].[All]" dimensionUniqueName="[SEDI]" displayFolder="" count="0" memberValueDatatype="20" unbalanced="0"/>
    <cacheHierarchy uniqueName="[DOCENTI].[DATA DI NASCITA (indice mese)]" caption="DATA DI NASCITA (indice mese)" attribute="1" defaultMemberUniqueName="[DOCENTI].[DATA DI NASCITA (indice mese)].[All]" allUniqueName="[DOCENTI].[DATA DI NASCITA (indice mese)].[All]" dimensionUniqueName="[DOCENTI]" displayFolder="" count="0" memberValueDatatype="20" unbalanced="0" hidden="1"/>
    <cacheHierarchy uniqueName="[Measures].[__XL_Count CORSI_RECUPERO]" caption="__XL_Count CORSI_RECUPERO" measure="1" displayFolder="" measureGroup="CORSI_RECUPERO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Nessuna misura definita]" caption="__Nessuna misura definita" measure="1" displayFolder="" count="0" hidden="1"/>
    <cacheHierarchy uniqueName="[Measures].[Somma di PREZZO]" caption="Somma di PREZZ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edia di PREZZO]" caption="Media di PREZZ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a di DURATA (H)]" caption="Somma di DURATA (H)" measure="1" displayFolder="" measureGroup="CORSI_RECUPERO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OCENTE]" caption="Conteggio di DOCENT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eggio di SEDE]" caption="Conteggio di SED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eggio di TITOLO CORSO]" caption="Conteggio di TITOLO CORS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eggio di Materia]" caption="Conteggio di Materia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nteggio di DATA INIZIO]" caption="Conteggio di DATA INIZI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CORSI_RECUPERO" uniqueName="[CORSI_RECUPERO]" caption="CORSI_RECUPERO"/>
    <dimension name="DOCENTI" uniqueName="[DOCENTI]" caption="DOCENTI"/>
    <dimension measure="1" name="Measures" uniqueName="[Measures]" caption="Measures"/>
    <dimension name="SEDI" uniqueName="[SEDI]" caption="SEDI"/>
  </dimensions>
  <measureGroups count="3">
    <measureGroup name="CORSI_RECUPERO" caption="CORSI_RECUPERO"/>
    <measureGroup name="DOCENTI" caption="DOCENTI"/>
    <measureGroup name="SEDI" caption="SEDI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e Antonino Pellegrino" refreshedDate="45016.731029629627" createdVersion="3" refreshedVersion="8" minRefreshableVersion="3" recordCount="0" supportSubquery="1" supportAdvancedDrill="1" xr:uid="{CF7E748D-6659-4327-9A59-3E094F76753C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1">
    <cacheHierarchy uniqueName="[CORSI_RECUPERO].[TITOLO CORSO]" caption="TITOLO CORSO" attribute="1" defaultMemberUniqueName="[CORSI_RECUPERO].[TITOLO CORSO].[All]" allUniqueName="[CORSI_RECUPERO].[TITOLO CORSO].[All]" dimensionUniqueName="[CORSI_RECUPERO]" displayFolder="" count="0" memberValueDatatype="130" unbalanced="0"/>
    <cacheHierarchy uniqueName="[CORSI_RECUPERO].[Materia]" caption="Materia" attribute="1" defaultMemberUniqueName="[CORSI_RECUPERO].[Materia].[All]" allUniqueName="[CORSI_RECUPERO].[Materia].[All]" dimensionUniqueName="[CORSI_RECUPERO]" displayFolder="" count="2" memberValueDatatype="130" unbalanced="0"/>
    <cacheHierarchy uniqueName="[CORSI_RECUPERO].[DATA INIZIO]" caption="DATA INIZIO" attribute="1" time="1" defaultMemberUniqueName="[CORSI_RECUPERO].[DATA INIZIO].[All]" allUniqueName="[CORSI_RECUPERO].[DATA INIZIO].[All]" dimensionUniqueName="[CORSI_RECUPERO]" displayFolder="" count="2" memberValueDatatype="7" unbalanced="0"/>
    <cacheHierarchy uniqueName="[CORSI_RECUPERO].[DATA FINE]" caption="DATA FINE" attribute="1" time="1" defaultMemberUniqueName="[CORSI_RECUPERO].[DATA FINE].[All]" allUniqueName="[CORSI_RECUPERO].[DATA FINE].[All]" dimensionUniqueName="[CORSI_RECUPERO]" displayFolder="" count="0" memberValueDatatype="7" unbalanced="0"/>
    <cacheHierarchy uniqueName="[CORSI_RECUPERO].[DURATA (H)]" caption="DURATA (H)" attribute="1" defaultMemberUniqueName="[CORSI_RECUPERO].[DURATA (H)].[All]" allUniqueName="[CORSI_RECUPERO].[DURATA (H)].[All]" dimensionUniqueName="[CORSI_RECUPERO]" displayFolder="" count="2" memberValueDatatype="20" unbalanced="0"/>
    <cacheHierarchy uniqueName="[CORSI_RECUPERO].[PREZZO]" caption="PREZZO" attribute="1" defaultMemberUniqueName="[CORSI_RECUPERO].[PREZZO].[All]" allUniqueName="[CORSI_RECUPERO].[PREZZO].[All]" dimensionUniqueName="[CORSI_RECUPERO]" displayFolder="" count="0" memberValueDatatype="20" unbalanced="0"/>
    <cacheHierarchy uniqueName="[CORSI_RECUPERO].[DOCENTE]" caption="DOCENTE" attribute="1" defaultMemberUniqueName="[CORSI_RECUPERO].[DOCENTE].[All]" allUniqueName="[CORSI_RECUPERO].[DOCENTE].[All]" dimensionUniqueName="[CORSI_RECUPERO]" displayFolder="" count="2" memberValueDatatype="130" unbalanced="0"/>
    <cacheHierarchy uniqueName="[CORSI_RECUPERO].[SEDE]" caption="SEDE" attribute="1" defaultMemberUniqueName="[CORSI_RECUPERO].[SEDE].[All]" allUniqueName="[CORSI_RECUPERO].[SEDE].[All]" dimensionUniqueName="[CORSI_RECUPERO]" displayFolder="" count="2" memberValueDatatype="130" unbalanced="0"/>
    <cacheHierarchy uniqueName="[DOCENTI].[NOME E COGNOME]" caption="NOME E COGNOME" attribute="1" defaultMemberUniqueName="[DOCENTI].[NOME E COGNOME].[All]" allUniqueName="[DOCENTI].[NOME E 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RESIDENZA]" caption="CITTA' RESIDENZA" attribute="1" defaultMemberUniqueName="[DOCENTI].[CITTA' RESIDENZA].[All]" allUniqueName="[DOCENTI].[CITTA'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2" memberValueDatatype="130" unbalanced="0"/>
    <cacheHierarchy uniqueName="[DOCENTI].[DATA DI NASCITA (anno)]" caption="DATA DI NASCITA (anno)" attribute="1" defaultMemberUniqueName="[DOCENTI].[DATA DI NASCITA (anno)].[All]" allUniqueName="[DOCENTI].[DATA DI NASCITA (anno)].[All]" dimensionUniqueName="[DOCENTI]" displayFolder="" count="0" memberValueDatatype="130" unbalanced="0"/>
    <cacheHierarchy uniqueName="[DOCENTI].[DATA DI NASCITA (trimestre)]" caption="DATA DI NASCITA (trimestre)" attribute="1" defaultMemberUniqueName="[DOCENTI].[DATA DI NASCITA (trimestre)].[All]" allUniqueName="[DOCENTI].[DATA DI NASCITA (trimestre)].[All]" dimensionUniqueName="[DOCENTI]" displayFolder="" count="0" memberValueDatatype="130" unbalanced="0"/>
    <cacheHierarchy uniqueName="[DOCENTI].[DATA DI NASCITA (mese)]" caption="DATA DI NASCITA (mese)" attribute="1" defaultMemberUniqueName="[DOCENTI].[DATA DI NASCITA (mese)].[All]" allUniqueName="[DOCENTI].[DATA DI NASCITA (mese)].[All]" dimensionUniqueName="[DOCENTI]" displayFolder="" count="0" memberValueDatatype="130" unbalanced="0"/>
    <cacheHierarchy uniqueName="[SEDI].[SEDE]" caption="SEDE" attribute="1" defaultMemberUniqueName="[SEDI].[SEDE].[All]" allUniqueName="[SEDI].[SEDE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 AULA]" caption="CAPIENZA AULA" attribute="1" defaultMemberUniqueName="[SEDI].[CAPIENZA AULA].[All]" allUniqueName="[SEDI].[CAPIENZA AULA].[All]" dimensionUniqueName="[SEDI]" displayFolder="" count="0" memberValueDatatype="20" unbalanced="0"/>
    <cacheHierarchy uniqueName="[DOCENTI].[DATA DI NASCITA (indice mese)]" caption="DATA DI NASCITA (indice mese)" attribute="1" defaultMemberUniqueName="[DOCENTI].[DATA DI NASCITA (indice mese)].[All]" allUniqueName="[DOCENTI].[DATA DI NASCITA (indice mese)].[All]" dimensionUniqueName="[DOCENTI]" displayFolder="" count="0" memberValueDatatype="20" unbalanced="0" hidden="1"/>
    <cacheHierarchy uniqueName="[Measures].[__XL_Count CORSI_RECUPERO]" caption="__XL_Count CORSI_RECUPERO" measure="1" displayFolder="" measureGroup="CORSI_RECUPERO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Nessuna misura definita]" caption="__Nessuna misura definita" measure="1" displayFolder="" count="0" hidden="1"/>
    <cacheHierarchy uniqueName="[Measures].[Somma di PREZZO]" caption="Somma di PREZZ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edia di PREZZO]" caption="Media di PREZZ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a di DURATA (H)]" caption="Somma di DURATA (H)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OCENTE]" caption="Conteggio di DOCENT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eggio di SEDE]" caption="Conteggio di SED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eggio di TITOLO CORSO]" caption="Conteggio di TITOLO CORS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eggio di Materia]" caption="Conteggio di Materia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nteggio di DATA INIZIO]" caption="Conteggio di DATA INIZI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498746060"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e Antonino Pellegrino" refreshedDate="45016.731079861114" createdVersion="3" refreshedVersion="8" minRefreshableVersion="3" recordCount="0" supportSubquery="1" supportAdvancedDrill="1" xr:uid="{8B37449D-870A-4C0A-9EC0-05E917DCB940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1">
    <cacheHierarchy uniqueName="[CORSI_RECUPERO].[TITOLO CORSO]" caption="TITOLO CORSO" attribute="1" defaultMemberUniqueName="[CORSI_RECUPERO].[TITOLO CORSO].[All]" allUniqueName="[CORSI_RECUPERO].[TITOLO CORSO].[All]" dimensionUniqueName="[CORSI_RECUPERO]" displayFolder="" count="0" memberValueDatatype="130" unbalanced="0"/>
    <cacheHierarchy uniqueName="[CORSI_RECUPERO].[Materia]" caption="Materia" attribute="1" defaultMemberUniqueName="[CORSI_RECUPERO].[Materia].[All]" allUniqueName="[CORSI_RECUPERO].[Materia].[All]" dimensionUniqueName="[CORSI_RECUPERO]" displayFolder="" count="0" memberValueDatatype="130" unbalanced="0"/>
    <cacheHierarchy uniqueName="[CORSI_RECUPERO].[DATA INIZIO]" caption="DATA INIZIO" attribute="1" time="1" defaultMemberUniqueName="[CORSI_RECUPERO].[DATA INIZIO].[All]" allUniqueName="[CORSI_RECUPERO].[DATA INIZIO].[All]" dimensionUniqueName="[CORSI_RECUPERO]" displayFolder="" count="0" memberValueDatatype="7" unbalanced="0"/>
    <cacheHierarchy uniqueName="[CORSI_RECUPERO].[DATA FINE]" caption="DATA FINE" attribute="1" time="1" defaultMemberUniqueName="[CORSI_RECUPERO].[DATA FINE].[All]" allUniqueName="[CORSI_RECUPERO].[DATA FINE].[All]" dimensionUniqueName="[CORSI_RECUPERO]" displayFolder="" count="0" memberValueDatatype="7" unbalanced="0"/>
    <cacheHierarchy uniqueName="[CORSI_RECUPERO].[DURATA (H)]" caption="DURATA (H)" attribute="1" defaultMemberUniqueName="[CORSI_RECUPERO].[DURATA (H)].[All]" allUniqueName="[CORSI_RECUPERO].[DURATA (H)].[All]" dimensionUniqueName="[CORSI_RECUPERO]" displayFolder="" count="0" memberValueDatatype="20" unbalanced="0"/>
    <cacheHierarchy uniqueName="[CORSI_RECUPERO].[PREZZO]" caption="PREZZO" attribute="1" defaultMemberUniqueName="[CORSI_RECUPERO].[PREZZO].[All]" allUniqueName="[CORSI_RECUPERO].[PREZZO].[All]" dimensionUniqueName="[CORSI_RECUPERO]" displayFolder="" count="0" memberValueDatatype="20" unbalanced="0"/>
    <cacheHierarchy uniqueName="[CORSI_RECUPERO].[DOCENTE]" caption="DOCENTE" attribute="1" defaultMemberUniqueName="[CORSI_RECUPERO].[DOCENTE].[All]" allUniqueName="[CORSI_RECUPERO].[DOCENTE].[All]" dimensionUniqueName="[CORSI_RECUPERO]" displayFolder="" count="2" memberValueDatatype="130" unbalanced="0"/>
    <cacheHierarchy uniqueName="[CORSI_RECUPERO].[SEDE]" caption="SEDE" attribute="1" defaultMemberUniqueName="[CORSI_RECUPERO].[SEDE].[All]" allUniqueName="[CORSI_RECUPERO].[SEDE].[All]" dimensionUniqueName="[CORSI_RECUPERO]" displayFolder="" count="2" memberValueDatatype="130" unbalanced="0"/>
    <cacheHierarchy uniqueName="[DOCENTI].[NOME E COGNOME]" caption="NOME E COGNOME" attribute="1" defaultMemberUniqueName="[DOCENTI].[NOME E COGNOME].[All]" allUniqueName="[DOCENTI].[NOME E 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RESIDENZA]" caption="CITTA' RESIDENZA" attribute="1" defaultMemberUniqueName="[DOCENTI].[CITTA' RESIDENZA].[All]" allUniqueName="[DOCENTI].[CITTA'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DOCENTI].[DATA DI NASCITA (anno)]" caption="DATA DI NASCITA (anno)" attribute="1" defaultMemberUniqueName="[DOCENTI].[DATA DI NASCITA (anno)].[All]" allUniqueName="[DOCENTI].[DATA DI NASCITA (anno)].[All]" dimensionUniqueName="[DOCENTI]" displayFolder="" count="0" memberValueDatatype="130" unbalanced="0"/>
    <cacheHierarchy uniqueName="[DOCENTI].[DATA DI NASCITA (trimestre)]" caption="DATA DI NASCITA (trimestre)" attribute="1" defaultMemberUniqueName="[DOCENTI].[DATA DI NASCITA (trimestre)].[All]" allUniqueName="[DOCENTI].[DATA DI NASCITA (trimestre)].[All]" dimensionUniqueName="[DOCENTI]" displayFolder="" count="0" memberValueDatatype="130" unbalanced="0"/>
    <cacheHierarchy uniqueName="[DOCENTI].[DATA DI NASCITA (mese)]" caption="DATA DI NASCITA (mese)" attribute="1" defaultMemberUniqueName="[DOCENTI].[DATA DI NASCITA (mese)].[All]" allUniqueName="[DOCENTI].[DATA DI NASCITA (mese)].[All]" dimensionUniqueName="[DOCENTI]" displayFolder="" count="0" memberValueDatatype="130" unbalanced="0"/>
    <cacheHierarchy uniqueName="[SEDI].[SEDE]" caption="SEDE" attribute="1" defaultMemberUniqueName="[SEDI].[SEDE].[All]" allUniqueName="[SEDI].[SEDE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 AULA]" caption="CAPIENZA AULA" attribute="1" defaultMemberUniqueName="[SEDI].[CAPIENZA AULA].[All]" allUniqueName="[SEDI].[CAPIENZA AULA].[All]" dimensionUniqueName="[SEDI]" displayFolder="" count="0" memberValueDatatype="20" unbalanced="0"/>
    <cacheHierarchy uniqueName="[DOCENTI].[DATA DI NASCITA (indice mese)]" caption="DATA DI NASCITA (indice mese)" attribute="1" defaultMemberUniqueName="[DOCENTI].[DATA DI NASCITA (indice mese)].[All]" allUniqueName="[DOCENTI].[DATA DI NASCITA (indice mese)].[All]" dimensionUniqueName="[DOCENTI]" displayFolder="" count="0" memberValueDatatype="20" unbalanced="0" hidden="1"/>
    <cacheHierarchy uniqueName="[Measures].[__XL_Count CORSI_RECUPERO]" caption="__XL_Count CORSI_RECUPERO" measure="1" displayFolder="" measureGroup="CORSI_RECUPERO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Nessuna misura definita]" caption="__Nessuna misura definita" measure="1" displayFolder="" count="0" hidden="1"/>
    <cacheHierarchy uniqueName="[Measures].[Somma di PREZZO]" caption="Somma di PREZZ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edia di PREZZO]" caption="Media di PREZZ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a di DURATA (H)]" caption="Somma di DURATA (H)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OCENTE]" caption="Conteggio di DOCENT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eggio di SEDE]" caption="Conteggio di SED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eggio di TITOLO CORSO]" caption="Conteggio di TITOLO CORS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eggio di Materia]" caption="Conteggio di Materia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nteggio di DATA INIZIO]" caption="Conteggio di DATA INIZI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79179687"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e Antonino Pellegrino" refreshedDate="45016.731085300926" createdVersion="7" refreshedVersion="8" minRefreshableVersion="3" recordCount="0" supportSubquery="1" supportAdvancedDrill="1" xr:uid="{0F961CC9-AFB4-4471-914E-83FF9A81D281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5">
    <cacheField name="[CORSI_RECUPERO].[TITOLO CORSO].[TITOLO CORSO]" caption="TITOLO CORSO" numFmtId="0" level="1">
      <sharedItems count="30">
        <s v="FISICA 3"/>
        <s v="FISICA 5"/>
        <s v="INGLESE 3"/>
        <s v="ITALIANO 3"/>
        <s v="LATINO 3"/>
        <s v="LATINO 5"/>
        <s v="MATEMATICA 3"/>
        <s v="MATEMATICA 5"/>
        <s v="FISICA 1"/>
        <s v="INGLESE 1"/>
        <s v="INGLESE 4"/>
        <s v="ITALIANO 1"/>
        <s v="ITALIANO 4"/>
        <s v="LATINO 6"/>
        <s v="MATEMATICA 1"/>
        <s v="MATEMATICA 4"/>
        <s v="FISICA 2"/>
        <s v="FISICA 4"/>
        <s v="INGLESE 2"/>
        <s v="INGLESE 5"/>
        <s v="ITALIANO 2"/>
        <s v="ITALIANO 5"/>
        <s v="LATINO 2"/>
        <s v="LATINO 4"/>
        <s v="MATEMATICA 2"/>
        <s v="FISICA 6"/>
        <s v="INGLESE 6"/>
        <s v="ITALIANO 6"/>
        <s v="LATINO 1"/>
        <s v="MATEMATICA 6"/>
      </sharedItems>
    </cacheField>
    <cacheField name="[CORSI_RECUPERO].[Materia].[Materia]" caption="Materia" numFmtId="0" hierarchy="1" level="1">
      <sharedItems count="5">
        <s v="FILOSOFIA"/>
        <s v="FISICA"/>
        <s v="LETTERATURA"/>
        <s v="LINGUE"/>
        <s v="MATEMATICA"/>
      </sharedItems>
    </cacheField>
    <cacheField name="[CORSI_RECUPERO].[SEDE].[SEDE]" caption="SEDE" numFmtId="0" hierarchy="7" level="1">
      <sharedItems count="4">
        <s v="Bari"/>
        <s v="Bologna"/>
        <s v="Napoli"/>
        <s v="Online"/>
      </sharedItems>
    </cacheField>
    <cacheField name="[Measures].[Somma di DURATA (H)]" caption="Somma di DURATA (H)" numFmtId="0" hierarchy="25" level="32767"/>
    <cacheField name="[CORSI_RECUPERO].[DOCENTE].[DOCENTE]" caption="DOCENTE" numFmtId="0" hierarchy="6" level="1">
      <sharedItems containsSemiMixedTypes="0" containsNonDate="0" containsString="0"/>
    </cacheField>
  </cacheFields>
  <cacheHierarchies count="31">
    <cacheHierarchy uniqueName="[CORSI_RECUPERO].[TITOLO CORSO]" caption="TITOLO CORSO" attribute="1" defaultMemberUniqueName="[CORSI_RECUPERO].[TITOLO CORSO].[All]" allUniqueName="[CORSI_RECUPERO].[TITOLO CORSO].[All]" dimensionUniqueName="[CORSI_RECUPERO]" displayFolder="" count="2" memberValueDatatype="130" unbalanced="0">
      <fieldsUsage count="2">
        <fieldUsage x="-1"/>
        <fieldUsage x="0"/>
      </fieldsUsage>
    </cacheHierarchy>
    <cacheHierarchy uniqueName="[CORSI_RECUPERO].[Materia]" caption="Materia" attribute="1" defaultMemberUniqueName="[CORSI_RECUPERO].[Materia].[All]" allUniqueName="[CORSI_RECUPERO].[Materia].[All]" dimensionUniqueName="[CORSI_RECUPERO]" displayFolder="" count="2" memberValueDatatype="130" unbalanced="0">
      <fieldsUsage count="2">
        <fieldUsage x="-1"/>
        <fieldUsage x="1"/>
      </fieldsUsage>
    </cacheHierarchy>
    <cacheHierarchy uniqueName="[CORSI_RECUPERO].[DATA INIZIO]" caption="DATA INIZIO" attribute="1" time="1" defaultMemberUniqueName="[CORSI_RECUPERO].[DATA INIZIO].[All]" allUniqueName="[CORSI_RECUPERO].[DATA INIZIO].[All]" dimensionUniqueName="[CORSI_RECUPERO]" displayFolder="" count="0" memberValueDatatype="7" unbalanced="0"/>
    <cacheHierarchy uniqueName="[CORSI_RECUPERO].[DATA FINE]" caption="DATA FINE" attribute="1" time="1" defaultMemberUniqueName="[CORSI_RECUPERO].[DATA FINE].[All]" allUniqueName="[CORSI_RECUPERO].[DATA FINE].[All]" dimensionUniqueName="[CORSI_RECUPERO]" displayFolder="" count="0" memberValueDatatype="7" unbalanced="0"/>
    <cacheHierarchy uniqueName="[CORSI_RECUPERO].[DURATA (H)]" caption="DURATA (H)" attribute="1" defaultMemberUniqueName="[CORSI_RECUPERO].[DURATA (H)].[All]" allUniqueName="[CORSI_RECUPERO].[DURATA (H)].[All]" dimensionUniqueName="[CORSI_RECUPERO]" displayFolder="" count="0" memberValueDatatype="20" unbalanced="0"/>
    <cacheHierarchy uniqueName="[CORSI_RECUPERO].[PREZZO]" caption="PREZZO" attribute="1" defaultMemberUniqueName="[CORSI_RECUPERO].[PREZZO].[All]" allUniqueName="[CORSI_RECUPERO].[PREZZO].[All]" dimensionUniqueName="[CORSI_RECUPERO]" displayFolder="" count="0" memberValueDatatype="20" unbalanced="0"/>
    <cacheHierarchy uniqueName="[CORSI_RECUPERO].[DOCENTE]" caption="DOCENTE" attribute="1" defaultMemberUniqueName="[CORSI_RECUPERO].[DOCENTE].[All]" allUniqueName="[CORSI_RECUPERO].[DOCENTE].[All]" dimensionUniqueName="[CORSI_RECUPERO]" displayFolder="" count="2" memberValueDatatype="130" unbalanced="0">
      <fieldsUsage count="2">
        <fieldUsage x="-1"/>
        <fieldUsage x="4"/>
      </fieldsUsage>
    </cacheHierarchy>
    <cacheHierarchy uniqueName="[CORSI_RECUPERO].[SEDE]" caption="SEDE" attribute="1" defaultMemberUniqueName="[CORSI_RECUPERO].[SEDE].[All]" allUniqueName="[CORSI_RECUPERO].[SEDE].[All]" dimensionUniqueName="[CORSI_RECUPERO]" displayFolder="" count="2" memberValueDatatype="130" unbalanced="0">
      <fieldsUsage count="2">
        <fieldUsage x="-1"/>
        <fieldUsage x="2"/>
      </fieldsUsage>
    </cacheHierarchy>
    <cacheHierarchy uniqueName="[DOCENTI].[NOME E COGNOME]" caption="NOME E COGNOME" attribute="1" defaultMemberUniqueName="[DOCENTI].[NOME E COGNOME].[All]" allUniqueName="[DOCENTI].[NOME E 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RESIDENZA]" caption="CITTA' RESIDENZA" attribute="1" defaultMemberUniqueName="[DOCENTI].[CITTA' RESIDENZA].[All]" allUniqueName="[DOCENTI].[CITTA'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DOCENTI].[DATA DI NASCITA (anno)]" caption="DATA DI NASCITA (anno)" attribute="1" defaultMemberUniqueName="[DOCENTI].[DATA DI NASCITA (anno)].[All]" allUniqueName="[DOCENTI].[DATA DI NASCITA (anno)].[All]" dimensionUniqueName="[DOCENTI]" displayFolder="" count="0" memberValueDatatype="130" unbalanced="0"/>
    <cacheHierarchy uniqueName="[DOCENTI].[DATA DI NASCITA (trimestre)]" caption="DATA DI NASCITA (trimestre)" attribute="1" defaultMemberUniqueName="[DOCENTI].[DATA DI NASCITA (trimestre)].[All]" allUniqueName="[DOCENTI].[DATA DI NASCITA (trimestre)].[All]" dimensionUniqueName="[DOCENTI]" displayFolder="" count="0" memberValueDatatype="130" unbalanced="0"/>
    <cacheHierarchy uniqueName="[DOCENTI].[DATA DI NASCITA (mese)]" caption="DATA DI NASCITA (mese)" attribute="1" defaultMemberUniqueName="[DOCENTI].[DATA DI NASCITA (mese)].[All]" allUniqueName="[DOCENTI].[DATA DI NASCITA (mese)].[All]" dimensionUniqueName="[DOCENTI]" displayFolder="" count="0" memberValueDatatype="130" unbalanced="0"/>
    <cacheHierarchy uniqueName="[SEDI].[SEDE]" caption="SEDE" attribute="1" defaultMemberUniqueName="[SEDI].[SEDE].[All]" allUniqueName="[SEDI].[SEDE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 AULA]" caption="CAPIENZA AULA" attribute="1" defaultMemberUniqueName="[SEDI].[CAPIENZA AULA].[All]" allUniqueName="[SEDI].[CAPIENZA AULA].[All]" dimensionUniqueName="[SEDI]" displayFolder="" count="0" memberValueDatatype="20" unbalanced="0"/>
    <cacheHierarchy uniqueName="[DOCENTI].[DATA DI NASCITA (indice mese)]" caption="DATA DI NASCITA (indice mese)" attribute="1" defaultMemberUniqueName="[DOCENTI].[DATA DI NASCITA (indice mese)].[All]" allUniqueName="[DOCENTI].[DATA DI NASCITA (indice mese)].[All]" dimensionUniqueName="[DOCENTI]" displayFolder="" count="0" memberValueDatatype="20" unbalanced="0" hidden="1"/>
    <cacheHierarchy uniqueName="[Measures].[__XL_Count CORSI_RECUPERO]" caption="__XL_Count CORSI_RECUPERO" measure="1" displayFolder="" measureGroup="CORSI_RECUPERO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Nessuna misura definita]" caption="__Nessuna misura definita" measure="1" displayFolder="" count="0" hidden="1"/>
    <cacheHierarchy uniqueName="[Measures].[Somma di PREZZO]" caption="Somma di PREZZ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edia di PREZZO]" caption="Media di PREZZ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a di DURATA (H)]" caption="Somma di DURATA (H)" measure="1" displayFolder="" measureGroup="CORSI_RECUPER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OCENTE]" caption="Conteggio di DOCENT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eggio di SEDE]" caption="Conteggio di SED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eggio di TITOLO CORSO]" caption="Conteggio di TITOLO CORS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eggio di Materia]" caption="Conteggio di Materia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nteggio di DATA INIZIO]" caption="Conteggio di DATA INIZI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CORSI_RECUPERO" uniqueName="[CORSI_RECUPERO]" caption="CORSI_RECUPERO"/>
    <dimension name="DOCENTI" uniqueName="[DOCENTI]" caption="DOCENTI"/>
    <dimension measure="1" name="Measures" uniqueName="[Measures]" caption="Measures"/>
    <dimension name="SEDI" uniqueName="[SEDI]" caption="SEDI"/>
  </dimensions>
  <measureGroups count="3">
    <measureGroup name="CORSI_RECUPERO" caption="CORSI_RECUPERO"/>
    <measureGroup name="DOCENTI" caption="DOCENTI"/>
    <measureGroup name="SEDI" caption="SEDI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pivotCacheId="16726611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Gabriele Antonino Pellegrino" refreshedDate="45016.731401157405" createdVersion="5" refreshedVersion="8" minRefreshableVersion="3" recordCount="0" supportSubquery="1" supportAdvancedDrill="1" xr:uid="{B6225FCF-43CF-4255-A50D-5288E2F6C4EA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SEDI].[SEDE].[SEDE]" caption="SEDE" numFmtId="0" hierarchy="15" level="1">
      <sharedItems count="4">
        <s v="Bari"/>
        <s v="Bologna"/>
        <s v="Napoli"/>
        <s v="Online"/>
      </sharedItems>
    </cacheField>
    <cacheField name="[Measures].[Media di PREZZO]" caption="Media di PREZZO" numFmtId="0" hierarchy="24" level="32767"/>
    <cacheField name="[CORSI_RECUPERO].[DATA INIZIO].[DATA INIZIO]" caption="DATA INIZIO" numFmtId="0" hierarchy="2" level="1">
      <sharedItems containsSemiMixedTypes="0" containsNonDate="0" containsString="0"/>
    </cacheField>
    <cacheField name="[DOCENTI].[MATERIA].[MATERIA]" caption="MATERIA" numFmtId="0" hierarchy="11" level="1">
      <sharedItems containsSemiMixedTypes="0" containsNonDate="0" containsString="0"/>
    </cacheField>
  </cacheFields>
  <cacheHierarchies count="31">
    <cacheHierarchy uniqueName="[CORSI_RECUPERO].[TITOLO CORSO]" caption="TITOLO CORSO" attribute="1" defaultMemberUniqueName="[CORSI_RECUPERO].[TITOLO CORSO].[All]" allUniqueName="[CORSI_RECUPERO].[TITOLO CORSO].[All]" dimensionUniqueName="[CORSI_RECUPERO]" displayFolder="" count="0" memberValueDatatype="130" unbalanced="0"/>
    <cacheHierarchy uniqueName="[CORSI_RECUPERO].[Materia]" caption="Materia" attribute="1" defaultMemberUniqueName="[CORSI_RECUPERO].[Materia].[All]" allUniqueName="[CORSI_RECUPERO].[Materia].[All]" dimensionUniqueName="[CORSI_RECUPERO]" displayFolder="" count="0" memberValueDatatype="130" unbalanced="0"/>
    <cacheHierarchy uniqueName="[CORSI_RECUPERO].[DATA INIZIO]" caption="DATA INIZIO" attribute="1" time="1" defaultMemberUniqueName="[CORSI_RECUPERO].[DATA INIZIO].[All]" allUniqueName="[CORSI_RECUPERO].[DATA INIZIO].[All]" dimensionUniqueName="[CORSI_RECUPERO]" displayFolder="" count="2" memberValueDatatype="7" unbalanced="0">
      <fieldsUsage count="2">
        <fieldUsage x="-1"/>
        <fieldUsage x="2"/>
      </fieldsUsage>
    </cacheHierarchy>
    <cacheHierarchy uniqueName="[CORSI_RECUPERO].[DATA FINE]" caption="DATA FINE" attribute="1" time="1" defaultMemberUniqueName="[CORSI_RECUPERO].[DATA FINE].[All]" allUniqueName="[CORSI_RECUPERO].[DATA FINE].[All]" dimensionUniqueName="[CORSI_RECUPERO]" displayFolder="" count="0" memberValueDatatype="7" unbalanced="0"/>
    <cacheHierarchy uniqueName="[CORSI_RECUPERO].[DURATA (H)]" caption="DURATA (H)" attribute="1" defaultMemberUniqueName="[CORSI_RECUPERO].[DURATA (H)].[All]" allUniqueName="[CORSI_RECUPERO].[DURATA (H)].[All]" dimensionUniqueName="[CORSI_RECUPERO]" displayFolder="" count="2" memberValueDatatype="20" unbalanced="0"/>
    <cacheHierarchy uniqueName="[CORSI_RECUPERO].[PREZZO]" caption="PREZZO" attribute="1" defaultMemberUniqueName="[CORSI_RECUPERO].[PREZZO].[All]" allUniqueName="[CORSI_RECUPERO].[PREZZO].[All]" dimensionUniqueName="[CORSI_RECUPERO]" displayFolder="" count="0" memberValueDatatype="20" unbalanced="0"/>
    <cacheHierarchy uniqueName="[CORSI_RECUPERO].[DOCENTE]" caption="DOCENTE" attribute="1" defaultMemberUniqueName="[CORSI_RECUPERO].[DOCENTE].[All]" allUniqueName="[CORSI_RECUPERO].[DOCENTE].[All]" dimensionUniqueName="[CORSI_RECUPERO]" displayFolder="" count="2" memberValueDatatype="130" unbalanced="0"/>
    <cacheHierarchy uniqueName="[CORSI_RECUPERO].[SEDE]" caption="SEDE" attribute="1" defaultMemberUniqueName="[CORSI_RECUPERO].[SEDE].[All]" allUniqueName="[CORSI_RECUPERO].[SEDE].[All]" dimensionUniqueName="[CORSI_RECUPERO]" displayFolder="" count="2" memberValueDatatype="130" unbalanced="0"/>
    <cacheHierarchy uniqueName="[DOCENTI].[NOME E COGNOME]" caption="NOME E COGNOME" attribute="1" defaultMemberUniqueName="[DOCENTI].[NOME E COGNOME].[All]" allUniqueName="[DOCENTI].[NOME E 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RESIDENZA]" caption="CITTA' RESIDENZA" attribute="1" defaultMemberUniqueName="[DOCENTI].[CITTA' RESIDENZA].[All]" allUniqueName="[DOCENTI].[CITTA'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2" memberValueDatatype="130" unbalanced="0">
      <fieldsUsage count="2">
        <fieldUsage x="-1"/>
        <fieldUsage x="3"/>
      </fieldsUsage>
    </cacheHierarchy>
    <cacheHierarchy uniqueName="[DOCENTI].[DATA DI NASCITA (anno)]" caption="DATA DI NASCITA (anno)" attribute="1" defaultMemberUniqueName="[DOCENTI].[DATA DI NASCITA (anno)].[All]" allUniqueName="[DOCENTI].[DATA DI NASCITA (anno)].[All]" dimensionUniqueName="[DOCENTI]" displayFolder="" count="0" memberValueDatatype="130" unbalanced="0"/>
    <cacheHierarchy uniqueName="[DOCENTI].[DATA DI NASCITA (trimestre)]" caption="DATA DI NASCITA (trimestre)" attribute="1" defaultMemberUniqueName="[DOCENTI].[DATA DI NASCITA (trimestre)].[All]" allUniqueName="[DOCENTI].[DATA DI NASCITA (trimestre)].[All]" dimensionUniqueName="[DOCENTI]" displayFolder="" count="0" memberValueDatatype="130" unbalanced="0"/>
    <cacheHierarchy uniqueName="[DOCENTI].[DATA DI NASCITA (mese)]" caption="DATA DI NASCITA (mese)" attribute="1" defaultMemberUniqueName="[DOCENTI].[DATA DI NASCITA (mese)].[All]" allUniqueName="[DOCENTI].[DATA DI NASCITA (mese)].[All]" dimensionUniqueName="[DOCENTI]" displayFolder="" count="0" memberValueDatatype="130" unbalanced="0"/>
    <cacheHierarchy uniqueName="[SEDI].[SEDE]" caption="SEDE" attribute="1" defaultMemberUniqueName="[SEDI].[SEDE].[All]" allUniqueName="[SEDI].[SEDE].[All]" dimensionUniqueName="[SEDI]" displayFolder="" count="2" memberValueDatatype="130" unbalanced="0">
      <fieldsUsage count="2">
        <fieldUsage x="-1"/>
        <fieldUsage x="0"/>
      </fieldsUsage>
    </cacheHierarchy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 AULA]" caption="CAPIENZA AULA" attribute="1" defaultMemberUniqueName="[SEDI].[CAPIENZA AULA].[All]" allUniqueName="[SEDI].[CAPIENZA AULA].[All]" dimensionUniqueName="[SEDI]" displayFolder="" count="0" memberValueDatatype="20" unbalanced="0"/>
    <cacheHierarchy uniqueName="[DOCENTI].[DATA DI NASCITA (indice mese)]" caption="DATA DI NASCITA (indice mese)" attribute="1" defaultMemberUniqueName="[DOCENTI].[DATA DI NASCITA (indice mese)].[All]" allUniqueName="[DOCENTI].[DATA DI NASCITA (indice mese)].[All]" dimensionUniqueName="[DOCENTI]" displayFolder="" count="0" memberValueDatatype="20" unbalanced="0" hidden="1"/>
    <cacheHierarchy uniqueName="[Measures].[__XL_Count CORSI_RECUPERO]" caption="__XL_Count CORSI_RECUPERO" measure="1" displayFolder="" measureGroup="CORSI_RECUPERO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Nessuna misura definita]" caption="__Nessuna misura definita" measure="1" displayFolder="" count="0" hidden="1"/>
    <cacheHierarchy uniqueName="[Measures].[Somma di PREZZO]" caption="Somma di PREZZ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edia di PREZZO]" caption="Media di PREZZO" measure="1" displayFolder="" measureGroup="CORSI_RECUPER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a di DURATA (H)]" caption="Somma di DURATA (H)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OCENTE]" caption="Conteggio di DOCENT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eggio di SEDE]" caption="Conteggio di SED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eggio di TITOLO CORSO]" caption="Conteggio di TITOLO CORS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eggio di Materia]" caption="Conteggio di Materia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nteggio di DATA INIZIO]" caption="Conteggio di DATA INIZI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CORSI_RECUPERO" uniqueName="[CORSI_RECUPERO]" caption="CORSI_RECUPERO"/>
    <dimension name="DOCENTI" uniqueName="[DOCENTI]" caption="DOCENTI"/>
    <dimension measure="1" name="Measures" uniqueName="[Measures]" caption="Measures"/>
    <dimension name="SEDI" uniqueName="[SEDI]" caption="SEDI"/>
  </dimensions>
  <measureGroups count="3">
    <measureGroup name="CORSI_RECUPERO" caption="CORSI_RECUPERO"/>
    <measureGroup name="DOCENTI" caption="DOCENTI"/>
    <measureGroup name="SEDI" caption="SEDI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pivotCacheId="63234827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Gabriele Antonino Pellegrino" refreshedDate="45016.731402083336" createdVersion="5" refreshedVersion="8" minRefreshableVersion="3" recordCount="0" supportSubquery="1" supportAdvancedDrill="1" xr:uid="{7338C85A-129C-4B53-BFAB-9A3A075B08DC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CORSI_RECUPERO].[Materia].[Materia]" caption="Materia" numFmtId="0" hierarchy="1" level="1">
      <sharedItems count="5">
        <s v="FILOSOFIA"/>
        <s v="FISICA"/>
        <s v="LETTERATURA"/>
        <s v="LINGUE"/>
        <s v="MATEMATICA"/>
      </sharedItems>
    </cacheField>
    <cacheField name="[Measures].[Conteggio di SEDE]" caption="Conteggio di SEDE" numFmtId="0" hierarchy="27" level="32767"/>
    <cacheField name="[CORSI_RECUPERO].[DATA INIZIO].[DATA INIZIO]" caption="DATA INIZIO" numFmtId="0" hierarchy="2" level="1">
      <sharedItems containsSemiMixedTypes="0" containsNonDate="0" containsString="0"/>
    </cacheField>
    <cacheField name="[DOCENTI].[MATERIA].[MATERIA]" caption="MATERIA" numFmtId="0" hierarchy="11" level="1">
      <sharedItems containsSemiMixedTypes="0" containsNonDate="0" containsString="0"/>
    </cacheField>
  </cacheFields>
  <cacheHierarchies count="31">
    <cacheHierarchy uniqueName="[CORSI_RECUPERO].[TITOLO CORSO]" caption="TITOLO CORSO" attribute="1" defaultMemberUniqueName="[CORSI_RECUPERO].[TITOLO CORSO].[All]" allUniqueName="[CORSI_RECUPERO].[TITOLO CORSO].[All]" dimensionUniqueName="[CORSI_RECUPERO]" displayFolder="" count="0" memberValueDatatype="130" unbalanced="0"/>
    <cacheHierarchy uniqueName="[CORSI_RECUPERO].[Materia]" caption="Materia" attribute="1" defaultMemberUniqueName="[CORSI_RECUPERO].[Materia].[All]" allUniqueName="[CORSI_RECUPERO].[Materia].[All]" dimensionUniqueName="[CORSI_RECUPERO]" displayFolder="" count="2" memberValueDatatype="130" unbalanced="0">
      <fieldsUsage count="2">
        <fieldUsage x="-1"/>
        <fieldUsage x="0"/>
      </fieldsUsage>
    </cacheHierarchy>
    <cacheHierarchy uniqueName="[CORSI_RECUPERO].[DATA INIZIO]" caption="DATA INIZIO" attribute="1" time="1" defaultMemberUniqueName="[CORSI_RECUPERO].[DATA INIZIO].[All]" allUniqueName="[CORSI_RECUPERO].[DATA INIZIO].[All]" dimensionUniqueName="[CORSI_RECUPERO]" displayFolder="" count="2" memberValueDatatype="7" unbalanced="0">
      <fieldsUsage count="2">
        <fieldUsage x="-1"/>
        <fieldUsage x="2"/>
      </fieldsUsage>
    </cacheHierarchy>
    <cacheHierarchy uniqueName="[CORSI_RECUPERO].[DATA FINE]" caption="DATA FINE" attribute="1" time="1" defaultMemberUniqueName="[CORSI_RECUPERO].[DATA FINE].[All]" allUniqueName="[CORSI_RECUPERO].[DATA FINE].[All]" dimensionUniqueName="[CORSI_RECUPERO]" displayFolder="" count="0" memberValueDatatype="7" unbalanced="0"/>
    <cacheHierarchy uniqueName="[CORSI_RECUPERO].[DURATA (H)]" caption="DURATA (H)" attribute="1" defaultMemberUniqueName="[CORSI_RECUPERO].[DURATA (H)].[All]" allUniqueName="[CORSI_RECUPERO].[DURATA (H)].[All]" dimensionUniqueName="[CORSI_RECUPERO]" displayFolder="" count="2" memberValueDatatype="20" unbalanced="0"/>
    <cacheHierarchy uniqueName="[CORSI_RECUPERO].[PREZZO]" caption="PREZZO" attribute="1" defaultMemberUniqueName="[CORSI_RECUPERO].[PREZZO].[All]" allUniqueName="[CORSI_RECUPERO].[PREZZO].[All]" dimensionUniqueName="[CORSI_RECUPERO]" displayFolder="" count="0" memberValueDatatype="20" unbalanced="0"/>
    <cacheHierarchy uniqueName="[CORSI_RECUPERO].[DOCENTE]" caption="DOCENTE" attribute="1" defaultMemberUniqueName="[CORSI_RECUPERO].[DOCENTE].[All]" allUniqueName="[CORSI_RECUPERO].[DOCENTE].[All]" dimensionUniqueName="[CORSI_RECUPERO]" displayFolder="" count="2" memberValueDatatype="130" unbalanced="0"/>
    <cacheHierarchy uniqueName="[CORSI_RECUPERO].[SEDE]" caption="SEDE" attribute="1" defaultMemberUniqueName="[CORSI_RECUPERO].[SEDE].[All]" allUniqueName="[CORSI_RECUPERO].[SEDE].[All]" dimensionUniqueName="[CORSI_RECUPERO]" displayFolder="" count="2" memberValueDatatype="130" unbalanced="0"/>
    <cacheHierarchy uniqueName="[DOCENTI].[NOME E COGNOME]" caption="NOME E COGNOME" attribute="1" defaultMemberUniqueName="[DOCENTI].[NOME E COGNOME].[All]" allUniqueName="[DOCENTI].[NOME E 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RESIDENZA]" caption="CITTA' RESIDENZA" attribute="1" defaultMemberUniqueName="[DOCENTI].[CITTA' RESIDENZA].[All]" allUniqueName="[DOCENTI].[CITTA'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2" memberValueDatatype="130" unbalanced="0">
      <fieldsUsage count="2">
        <fieldUsage x="-1"/>
        <fieldUsage x="3"/>
      </fieldsUsage>
    </cacheHierarchy>
    <cacheHierarchy uniqueName="[DOCENTI].[DATA DI NASCITA (anno)]" caption="DATA DI NASCITA (anno)" attribute="1" defaultMemberUniqueName="[DOCENTI].[DATA DI NASCITA (anno)].[All]" allUniqueName="[DOCENTI].[DATA DI NASCITA (anno)].[All]" dimensionUniqueName="[DOCENTI]" displayFolder="" count="0" memberValueDatatype="130" unbalanced="0"/>
    <cacheHierarchy uniqueName="[DOCENTI].[DATA DI NASCITA (trimestre)]" caption="DATA DI NASCITA (trimestre)" attribute="1" defaultMemberUniqueName="[DOCENTI].[DATA DI NASCITA (trimestre)].[All]" allUniqueName="[DOCENTI].[DATA DI NASCITA (trimestre)].[All]" dimensionUniqueName="[DOCENTI]" displayFolder="" count="0" memberValueDatatype="130" unbalanced="0"/>
    <cacheHierarchy uniqueName="[DOCENTI].[DATA DI NASCITA (mese)]" caption="DATA DI NASCITA (mese)" attribute="1" defaultMemberUniqueName="[DOCENTI].[DATA DI NASCITA (mese)].[All]" allUniqueName="[DOCENTI].[DATA DI NASCITA (mese)].[All]" dimensionUniqueName="[DOCENTI]" displayFolder="" count="0" memberValueDatatype="130" unbalanced="0"/>
    <cacheHierarchy uniqueName="[SEDI].[SEDE]" caption="SEDE" attribute="1" defaultMemberUniqueName="[SEDI].[SEDE].[All]" allUniqueName="[SEDI].[SEDE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 AULA]" caption="CAPIENZA AULA" attribute="1" defaultMemberUniqueName="[SEDI].[CAPIENZA AULA].[All]" allUniqueName="[SEDI].[CAPIENZA AULA].[All]" dimensionUniqueName="[SEDI]" displayFolder="" count="0" memberValueDatatype="20" unbalanced="0"/>
    <cacheHierarchy uniqueName="[DOCENTI].[DATA DI NASCITA (indice mese)]" caption="DATA DI NASCITA (indice mese)" attribute="1" defaultMemberUniqueName="[DOCENTI].[DATA DI NASCITA (indice mese)].[All]" allUniqueName="[DOCENTI].[DATA DI NASCITA (indice mese)].[All]" dimensionUniqueName="[DOCENTI]" displayFolder="" count="0" memberValueDatatype="20" unbalanced="0" hidden="1"/>
    <cacheHierarchy uniqueName="[Measures].[__XL_Count CORSI_RECUPERO]" caption="__XL_Count CORSI_RECUPERO" measure="1" displayFolder="" measureGroup="CORSI_RECUPERO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Nessuna misura definita]" caption="__Nessuna misura definita" measure="1" displayFolder="" count="0" hidden="1"/>
    <cacheHierarchy uniqueName="[Measures].[Somma di PREZZO]" caption="Somma di PREZZ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edia di PREZZO]" caption="Media di PREZZ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a di DURATA (H)]" caption="Somma di DURATA (H)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OCENTE]" caption="Conteggio di DOCENT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eggio di SEDE]" caption="Conteggio di SEDE" measure="1" displayFolder="" measureGroup="CORSI_RECUPER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eggio di TITOLO CORSO]" caption="Conteggio di TITOLO CORS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eggio di Materia]" caption="Conteggio di Materia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nteggio di DATA INIZIO]" caption="Conteggio di DATA INIZI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CORSI_RECUPERO" uniqueName="[CORSI_RECUPERO]" caption="CORSI_RECUPERO"/>
    <dimension name="DOCENTI" uniqueName="[DOCENTI]" caption="DOCENTI"/>
    <dimension measure="1" name="Measures" uniqueName="[Measures]" caption="Measures"/>
    <dimension name="SEDI" uniqueName="[SEDI]" caption="SEDI"/>
  </dimensions>
  <measureGroups count="3">
    <measureGroup name="CORSI_RECUPERO" caption="CORSI_RECUPERO"/>
    <measureGroup name="DOCENTI" caption="DOCENTI"/>
    <measureGroup name="SEDI" caption="SEDI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pivotCacheId="159064956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Gabriele Antonino Pellegrino" refreshedDate="45016.731402662037" createdVersion="5" refreshedVersion="8" minRefreshableVersion="3" recordCount="0" supportSubquery="1" supportAdvancedDrill="1" xr:uid="{9F47B029-DB70-4BCC-AB74-104A06DC6338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CORSI_RECUPERO].[DATA INIZIO].[DATA INIZIO]" caption="DATA INIZIO" numFmtId="0" hierarchy="2" level="1">
      <sharedItems containsSemiMixedTypes="0" containsNonDate="0" containsDate="1" containsString="0" minDate="2023-07-03T00:00:00" maxDate="2023-07-09T00:00:00" count="6">
        <d v="2023-07-03T00:00:00"/>
        <d v="2023-07-04T00:00:00"/>
        <d v="2023-07-05T00:00:00"/>
        <d v="2023-07-06T00:00:00"/>
        <d v="2023-07-07T00:00:00"/>
        <d v="2023-07-08T00:00:00"/>
      </sharedItems>
    </cacheField>
    <cacheField name="[Measures].[Media di PREZZO]" caption="Media di PREZZO" numFmtId="0" hierarchy="24" level="32767"/>
    <cacheField name="[DOCENTI].[MATERIA].[MATERIA]" caption="MATERIA" numFmtId="0" hierarchy="11" level="1">
      <sharedItems containsSemiMixedTypes="0" containsNonDate="0" containsString="0"/>
    </cacheField>
  </cacheFields>
  <cacheHierarchies count="31">
    <cacheHierarchy uniqueName="[CORSI_RECUPERO].[TITOLO CORSO]" caption="TITOLO CORSO" attribute="1" defaultMemberUniqueName="[CORSI_RECUPERO].[TITOLO CORSO].[All]" allUniqueName="[CORSI_RECUPERO].[TITOLO CORSO].[All]" dimensionUniqueName="[CORSI_RECUPERO]" displayFolder="" count="0" memberValueDatatype="130" unbalanced="0"/>
    <cacheHierarchy uniqueName="[CORSI_RECUPERO].[Materia]" caption="Materia" attribute="1" defaultMemberUniqueName="[CORSI_RECUPERO].[Materia].[All]" allUniqueName="[CORSI_RECUPERO].[Materia].[All]" dimensionUniqueName="[CORSI_RECUPERO]" displayFolder="" count="0" memberValueDatatype="130" unbalanced="0"/>
    <cacheHierarchy uniqueName="[CORSI_RECUPERO].[DATA INIZIO]" caption="DATA INIZIO" attribute="1" time="1" defaultMemberUniqueName="[CORSI_RECUPERO].[DATA INIZIO].[All]" allUniqueName="[CORSI_RECUPERO].[DATA INIZIO].[All]" dimensionUniqueName="[CORSI_RECUPERO]" displayFolder="" count="2" memberValueDatatype="7" unbalanced="0">
      <fieldsUsage count="2">
        <fieldUsage x="-1"/>
        <fieldUsage x="0"/>
      </fieldsUsage>
    </cacheHierarchy>
    <cacheHierarchy uniqueName="[CORSI_RECUPERO].[DATA FINE]" caption="DATA FINE" attribute="1" time="1" defaultMemberUniqueName="[CORSI_RECUPERO].[DATA FINE].[All]" allUniqueName="[CORSI_RECUPERO].[DATA FINE].[All]" dimensionUniqueName="[CORSI_RECUPERO]" displayFolder="" count="0" memberValueDatatype="7" unbalanced="0"/>
    <cacheHierarchy uniqueName="[CORSI_RECUPERO].[DURATA (H)]" caption="DURATA (H)" attribute="1" defaultMemberUniqueName="[CORSI_RECUPERO].[DURATA (H)].[All]" allUniqueName="[CORSI_RECUPERO].[DURATA (H)].[All]" dimensionUniqueName="[CORSI_RECUPERO]" displayFolder="" count="2" memberValueDatatype="20" unbalanced="0"/>
    <cacheHierarchy uniqueName="[CORSI_RECUPERO].[PREZZO]" caption="PREZZO" attribute="1" defaultMemberUniqueName="[CORSI_RECUPERO].[PREZZO].[All]" allUniqueName="[CORSI_RECUPERO].[PREZZO].[All]" dimensionUniqueName="[CORSI_RECUPERO]" displayFolder="" count="0" memberValueDatatype="20" unbalanced="0"/>
    <cacheHierarchy uniqueName="[CORSI_RECUPERO].[DOCENTE]" caption="DOCENTE" attribute="1" defaultMemberUniqueName="[CORSI_RECUPERO].[DOCENTE].[All]" allUniqueName="[CORSI_RECUPERO].[DOCENTE].[All]" dimensionUniqueName="[CORSI_RECUPERO]" displayFolder="" count="2" memberValueDatatype="130" unbalanced="0"/>
    <cacheHierarchy uniqueName="[CORSI_RECUPERO].[SEDE]" caption="SEDE" attribute="1" defaultMemberUniqueName="[CORSI_RECUPERO].[SEDE].[All]" allUniqueName="[CORSI_RECUPERO].[SEDE].[All]" dimensionUniqueName="[CORSI_RECUPERO]" displayFolder="" count="2" memberValueDatatype="130" unbalanced="0"/>
    <cacheHierarchy uniqueName="[DOCENTI].[NOME E COGNOME]" caption="NOME E COGNOME" attribute="1" defaultMemberUniqueName="[DOCENTI].[NOME E COGNOME].[All]" allUniqueName="[DOCENTI].[NOME E 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RESIDENZA]" caption="CITTA' RESIDENZA" attribute="1" defaultMemberUniqueName="[DOCENTI].[CITTA' RESIDENZA].[All]" allUniqueName="[DOCENTI].[CITTA'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2" memberValueDatatype="130" unbalanced="0">
      <fieldsUsage count="2">
        <fieldUsage x="-1"/>
        <fieldUsage x="2"/>
      </fieldsUsage>
    </cacheHierarchy>
    <cacheHierarchy uniqueName="[DOCENTI].[DATA DI NASCITA (anno)]" caption="DATA DI NASCITA (anno)" attribute="1" defaultMemberUniqueName="[DOCENTI].[DATA DI NASCITA (anno)].[All]" allUniqueName="[DOCENTI].[DATA DI NASCITA (anno)].[All]" dimensionUniqueName="[DOCENTI]" displayFolder="" count="0" memberValueDatatype="130" unbalanced="0"/>
    <cacheHierarchy uniqueName="[DOCENTI].[DATA DI NASCITA (trimestre)]" caption="DATA DI NASCITA (trimestre)" attribute="1" defaultMemberUniqueName="[DOCENTI].[DATA DI NASCITA (trimestre)].[All]" allUniqueName="[DOCENTI].[DATA DI NASCITA (trimestre)].[All]" dimensionUniqueName="[DOCENTI]" displayFolder="" count="0" memberValueDatatype="130" unbalanced="0"/>
    <cacheHierarchy uniqueName="[DOCENTI].[DATA DI NASCITA (mese)]" caption="DATA DI NASCITA (mese)" attribute="1" defaultMemberUniqueName="[DOCENTI].[DATA DI NASCITA (mese)].[All]" allUniqueName="[DOCENTI].[DATA DI NASCITA (mese)].[All]" dimensionUniqueName="[DOCENTI]" displayFolder="" count="0" memberValueDatatype="130" unbalanced="0"/>
    <cacheHierarchy uniqueName="[SEDI].[SEDE]" caption="SEDE" attribute="1" defaultMemberUniqueName="[SEDI].[SEDE].[All]" allUniqueName="[SEDI].[SEDE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 AULA]" caption="CAPIENZA AULA" attribute="1" defaultMemberUniqueName="[SEDI].[CAPIENZA AULA].[All]" allUniqueName="[SEDI].[CAPIENZA AULA].[All]" dimensionUniqueName="[SEDI]" displayFolder="" count="0" memberValueDatatype="20" unbalanced="0"/>
    <cacheHierarchy uniqueName="[DOCENTI].[DATA DI NASCITA (indice mese)]" caption="DATA DI NASCITA (indice mese)" attribute="1" defaultMemberUniqueName="[DOCENTI].[DATA DI NASCITA (indice mese)].[All]" allUniqueName="[DOCENTI].[DATA DI NASCITA (indice mese)].[All]" dimensionUniqueName="[DOCENTI]" displayFolder="" count="0" memberValueDatatype="20" unbalanced="0" hidden="1"/>
    <cacheHierarchy uniqueName="[Measures].[__XL_Count CORSI_RECUPERO]" caption="__XL_Count CORSI_RECUPERO" measure="1" displayFolder="" measureGroup="CORSI_RECUPERO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Nessuna misura definita]" caption="__Nessuna misura definita" measure="1" displayFolder="" count="0" hidden="1"/>
    <cacheHierarchy uniqueName="[Measures].[Somma di PREZZO]" caption="Somma di PREZZ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edia di PREZZO]" caption="Media di PREZZO" measure="1" displayFolder="" measureGroup="CORSI_RECUPER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a di DURATA (H)]" caption="Somma di DURATA (H)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OCENTE]" caption="Conteggio di DOCENT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eggio di SEDE]" caption="Conteggio di SED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eggio di TITOLO CORSO]" caption="Conteggio di TITOLO CORS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eggio di Materia]" caption="Conteggio di Materia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nteggio di DATA INIZIO]" caption="Conteggio di DATA INIZI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CORSI_RECUPERO" uniqueName="[CORSI_RECUPERO]" caption="CORSI_RECUPERO"/>
    <dimension name="DOCENTI" uniqueName="[DOCENTI]" caption="DOCENTI"/>
    <dimension measure="1" name="Measures" uniqueName="[Measures]" caption="Measures"/>
    <dimension name="SEDI" uniqueName="[SEDI]" caption="SEDI"/>
  </dimensions>
  <measureGroups count="3">
    <measureGroup name="CORSI_RECUPERO" caption="CORSI_RECUPERO"/>
    <measureGroup name="DOCENTI" caption="DOCENTI"/>
    <measureGroup name="SEDI" caption="SEDI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pivotCacheId="24357920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Gabriele Antonino Pellegrino" refreshedDate="45016.731403124999" createdVersion="5" refreshedVersion="8" minRefreshableVersion="3" recordCount="0" supportSubquery="1" supportAdvancedDrill="1" xr:uid="{F42D0A95-7DD8-4860-A8CF-F5B889CA11E7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Measures].[Media di PREZZO]" caption="Media di PREZZO" numFmtId="0" hierarchy="24" level="32767"/>
    <cacheField name="[CORSI_RECUPERO].[DATA INIZIO].[DATA INIZIO]" caption="DATA INIZIO" numFmtId="0" hierarchy="2" level="1">
      <sharedItems containsSemiMixedTypes="0" containsNonDate="0" containsString="0"/>
    </cacheField>
    <cacheField name="[CORSI_RECUPERO].[Materia].[Materia]" caption="Materia" numFmtId="0" hierarchy="1" level="1">
      <sharedItems count="5">
        <s v="FILOSOFIA"/>
        <s v="FISICA"/>
        <s v="LETTERATURA"/>
        <s v="LINGUE"/>
        <s v="MATEMATICA"/>
      </sharedItems>
    </cacheField>
  </cacheFields>
  <cacheHierarchies count="31">
    <cacheHierarchy uniqueName="[CORSI_RECUPERO].[TITOLO CORSO]" caption="TITOLO CORSO" attribute="1" defaultMemberUniqueName="[CORSI_RECUPERO].[TITOLO CORSO].[All]" allUniqueName="[CORSI_RECUPERO].[TITOLO CORSO].[All]" dimensionUniqueName="[CORSI_RECUPERO]" displayFolder="" count="0" memberValueDatatype="130" unbalanced="0"/>
    <cacheHierarchy uniqueName="[CORSI_RECUPERO].[Materia]" caption="Materia" attribute="1" defaultMemberUniqueName="[CORSI_RECUPERO].[Materia].[All]" allUniqueName="[CORSI_RECUPERO].[Materia].[All]" dimensionUniqueName="[CORSI_RECUPERO]" displayFolder="" count="2" memberValueDatatype="130" unbalanced="0">
      <fieldsUsage count="2">
        <fieldUsage x="-1"/>
        <fieldUsage x="2"/>
      </fieldsUsage>
    </cacheHierarchy>
    <cacheHierarchy uniqueName="[CORSI_RECUPERO].[DATA INIZIO]" caption="DATA INIZIO" attribute="1" time="1" defaultMemberUniqueName="[CORSI_RECUPERO].[DATA INIZIO].[All]" allUniqueName="[CORSI_RECUPERO].[DATA INIZIO].[All]" dimensionUniqueName="[CORSI_RECUPERO]" displayFolder="" count="2" memberValueDatatype="7" unbalanced="0">
      <fieldsUsage count="2">
        <fieldUsage x="-1"/>
        <fieldUsage x="1"/>
      </fieldsUsage>
    </cacheHierarchy>
    <cacheHierarchy uniqueName="[CORSI_RECUPERO].[DATA FINE]" caption="DATA FINE" attribute="1" time="1" defaultMemberUniqueName="[CORSI_RECUPERO].[DATA FINE].[All]" allUniqueName="[CORSI_RECUPERO].[DATA FINE].[All]" dimensionUniqueName="[CORSI_RECUPERO]" displayFolder="" count="0" memberValueDatatype="7" unbalanced="0"/>
    <cacheHierarchy uniqueName="[CORSI_RECUPERO].[DURATA (H)]" caption="DURATA (H)" attribute="1" defaultMemberUniqueName="[CORSI_RECUPERO].[DURATA (H)].[All]" allUniqueName="[CORSI_RECUPERO].[DURATA (H)].[All]" dimensionUniqueName="[CORSI_RECUPERO]" displayFolder="" count="2" memberValueDatatype="20" unbalanced="0"/>
    <cacheHierarchy uniqueName="[CORSI_RECUPERO].[PREZZO]" caption="PREZZO" attribute="1" defaultMemberUniqueName="[CORSI_RECUPERO].[PREZZO].[All]" allUniqueName="[CORSI_RECUPERO].[PREZZO].[All]" dimensionUniqueName="[CORSI_RECUPERO]" displayFolder="" count="0" memberValueDatatype="20" unbalanced="0"/>
    <cacheHierarchy uniqueName="[CORSI_RECUPERO].[DOCENTE]" caption="DOCENTE" attribute="1" defaultMemberUniqueName="[CORSI_RECUPERO].[DOCENTE].[All]" allUniqueName="[CORSI_RECUPERO].[DOCENTE].[All]" dimensionUniqueName="[CORSI_RECUPERO]" displayFolder="" count="2" memberValueDatatype="130" unbalanced="0"/>
    <cacheHierarchy uniqueName="[CORSI_RECUPERO].[SEDE]" caption="SEDE" attribute="1" defaultMemberUniqueName="[CORSI_RECUPERO].[SEDE].[All]" allUniqueName="[CORSI_RECUPERO].[SEDE].[All]" dimensionUniqueName="[CORSI_RECUPERO]" displayFolder="" count="2" memberValueDatatype="130" unbalanced="0"/>
    <cacheHierarchy uniqueName="[DOCENTI].[NOME E COGNOME]" caption="NOME E COGNOME" attribute="1" defaultMemberUniqueName="[DOCENTI].[NOME E COGNOME].[All]" allUniqueName="[DOCENTI].[NOME E 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RESIDENZA]" caption="CITTA' RESIDENZA" attribute="1" defaultMemberUniqueName="[DOCENTI].[CITTA' RESIDENZA].[All]" allUniqueName="[DOCENTI].[CITTA'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2" memberValueDatatype="130" unbalanced="0"/>
    <cacheHierarchy uniqueName="[DOCENTI].[DATA DI NASCITA (anno)]" caption="DATA DI NASCITA (anno)" attribute="1" defaultMemberUniqueName="[DOCENTI].[DATA DI NASCITA (anno)].[All]" allUniqueName="[DOCENTI].[DATA DI NASCITA (anno)].[All]" dimensionUniqueName="[DOCENTI]" displayFolder="" count="0" memberValueDatatype="130" unbalanced="0"/>
    <cacheHierarchy uniqueName="[DOCENTI].[DATA DI NASCITA (trimestre)]" caption="DATA DI NASCITA (trimestre)" attribute="1" defaultMemberUniqueName="[DOCENTI].[DATA DI NASCITA (trimestre)].[All]" allUniqueName="[DOCENTI].[DATA DI NASCITA (trimestre)].[All]" dimensionUniqueName="[DOCENTI]" displayFolder="" count="0" memberValueDatatype="130" unbalanced="0"/>
    <cacheHierarchy uniqueName="[DOCENTI].[DATA DI NASCITA (mese)]" caption="DATA DI NASCITA (mese)" attribute="1" defaultMemberUniqueName="[DOCENTI].[DATA DI NASCITA (mese)].[All]" allUniqueName="[DOCENTI].[DATA DI NASCITA (mese)].[All]" dimensionUniqueName="[DOCENTI]" displayFolder="" count="0" memberValueDatatype="130" unbalanced="0"/>
    <cacheHierarchy uniqueName="[SEDI].[SEDE]" caption="SEDE" attribute="1" defaultMemberUniqueName="[SEDI].[SEDE].[All]" allUniqueName="[SEDI].[SEDE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 AULA]" caption="CAPIENZA AULA" attribute="1" defaultMemberUniqueName="[SEDI].[CAPIENZA AULA].[All]" allUniqueName="[SEDI].[CAPIENZA AULA].[All]" dimensionUniqueName="[SEDI]" displayFolder="" count="0" memberValueDatatype="20" unbalanced="0"/>
    <cacheHierarchy uniqueName="[DOCENTI].[DATA DI NASCITA (indice mese)]" caption="DATA DI NASCITA (indice mese)" attribute="1" defaultMemberUniqueName="[DOCENTI].[DATA DI NASCITA (indice mese)].[All]" allUniqueName="[DOCENTI].[DATA DI NASCITA (indice mese)].[All]" dimensionUniqueName="[DOCENTI]" displayFolder="" count="0" memberValueDatatype="20" unbalanced="0" hidden="1"/>
    <cacheHierarchy uniqueName="[Measures].[__XL_Count CORSI_RECUPERO]" caption="__XL_Count CORSI_RECUPERO" measure="1" displayFolder="" measureGroup="CORSI_RECUPERO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Nessuna misura definita]" caption="__Nessuna misura definita" measure="1" displayFolder="" count="0" hidden="1"/>
    <cacheHierarchy uniqueName="[Measures].[Somma di PREZZO]" caption="Somma di PREZZ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edia di PREZZO]" caption="Media di PREZZO" measure="1" displayFolder="" measureGroup="CORSI_RECUPERO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a di DURATA (H)]" caption="Somma di DURATA (H)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OCENTE]" caption="Conteggio di DOCENT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eggio di SEDE]" caption="Conteggio di SEDE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eggio di TITOLO CORSO]" caption="Conteggio di TITOLO CORS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eggio di Materia]" caption="Conteggio di Materia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nteggio di DATA INIZIO]" caption="Conteggio di DATA INIZIO" measure="1" displayFolder="" measureGroup="CORSI_RECUPER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CORSI_RECUPERO" uniqueName="[CORSI_RECUPERO]" caption="CORSI_RECUPERO"/>
    <dimension name="DOCENTI" uniqueName="[DOCENTI]" caption="DOCENTI"/>
    <dimension measure="1" name="Measures" uniqueName="[Measures]" caption="Measures"/>
    <dimension name="SEDI" uniqueName="[SEDI]" caption="SEDI"/>
  </dimensions>
  <measureGroups count="3">
    <measureGroup name="CORSI_RECUPERO" caption="CORSI_RECUPERO"/>
    <measureGroup name="DOCENTI" caption="DOCENTI"/>
    <measureGroup name="SEDI" caption="SEDI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pivotCacheId="157585477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47788E-ACAB-4303-9F61-4CE1D52AB179}" name="PivotChartTable1" cacheId="263" applyNumberFormats="0" applyBorderFormats="0" applyFontFormats="0" applyPatternFormats="0" applyAlignmentFormats="0" applyWidthHeightFormats="1" dataCaption="Valori" updatedVersion="8" minRefreshableVersion="5" useAutoFormatting="1" itemPrintTitles="1" createdVersion="5" indent="0" outline="1" outlineData="1" multipleFieldFilters="0" chartFormat="1">
  <location ref="A1:B6" firstHeaderRow="1" firstDataRow="1" firstDataCol="1"/>
  <pivotFields count="4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Media di PREZZO" fld="1" subtotal="average" baseField="0" baseItem="9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1"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Media di PREZZO"/>
    <pivotHierarchy dragToData="1"/>
    <pivotHierarchy dragToData="1"/>
    <pivotHierarchy dragToData="1"/>
    <pivotHierarchy dragToData="1"/>
    <pivotHierarchy dragToData="1"/>
    <pivotHierarchy dragToData="1"/>
  </pivotHierarchies>
  <filters count="1">
    <filter fld="2" type="dateBetween" evalOrder="-1" id="7" name="[CORSI_RECUPERO].[DATA INIZIO]">
      <autoFilter ref="A1">
        <filterColumn colId="0">
          <customFilters and="1">
            <customFilter operator="greaterThanOrEqual" val="45108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5" columnCount="1" cacheId="632348272">
        <x15:pivotRow count="1">
          <x15:c>
            <x15:v>288.125</x15:v>
          </x15:c>
        </x15:pivotRow>
        <x15:pivotRow count="1">
          <x15:c>
            <x15:v>238.75</x15:v>
          </x15:c>
        </x15:pivotRow>
        <x15:pivotRow count="1">
          <x15:c>
            <x15:v>252.22222222222223</x15:v>
          </x15:c>
        </x15:pivotRow>
        <x15:pivotRow count="1">
          <x15:c>
            <x15:v>230</x15:v>
          </x15:c>
        </x15:pivotRow>
        <x15:pivotRow count="1">
          <x15:c>
            <x15:v>254.5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SEDI]"/>
        <x15:activeTabTopLevelEntity name="[CORSI_RECUPE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A698E3-FCFE-40FA-A5DB-0063A2873694}" name="PivotChartTable2" cacheId="272" applyNumberFormats="0" applyBorderFormats="0" applyFontFormats="0" applyPatternFormats="0" applyAlignmentFormats="0" applyWidthHeightFormats="1" dataCaption="Valori" updatedVersion="8" minRefreshableVersion="5" useAutoFormatting="1" itemPrintTitles="1" createdVersion="5" indent="0" outline="1" outlineData="1" multipleFieldFilters="0" chartFormat="1">
  <location ref="A1:B7" firstHeaderRow="1" firstDataRow="1" firstDataCol="1"/>
  <pivotFields count="3">
    <pivotField dataField="1" subtotalTop="0" showAll="0" defaultSubtotal="0"/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Media di PREZZO" fld="0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1"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Media di PREZZO"/>
    <pivotHierarchy dragToData="1"/>
    <pivotHierarchy dragToData="1"/>
    <pivotHierarchy dragToData="1"/>
    <pivotHierarchy dragToData="1"/>
    <pivotHierarchy dragToData="1"/>
    <pivotHierarchy dragToData="1"/>
  </pivotHierarchies>
  <filters count="1">
    <filter fld="1" type="dateBetween" evalOrder="-1" id="7" name="[CORSI_RECUPERO].[DATA INIZIO]">
      <autoFilter ref="A1">
        <filterColumn colId="0">
          <customFilters and="1">
            <customFilter operator="greaterThanOrEqual" val="45108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" columnCount="1" cacheId="1575854771">
        <x15:pivotRow count="1">
          <x15:c>
            <x15:v>317.5</x15:v>
          </x15:c>
        </x15:pivotRow>
        <x15:pivotRow count="1">
          <x15:c>
            <x15:v>317.5</x15:v>
          </x15:c>
        </x15:pivotRow>
        <x15:pivotRow count="1">
          <x15:c>
            <x15:v>160</x15:v>
          </x15:c>
        </x15:pivotRow>
        <x15:pivotRow count="1">
          <x15:c>
            <x15:v>160</x15:v>
          </x15:c>
        </x15:pivotRow>
        <x15:pivotRow count="1">
          <x15:c>
            <x15:v>317.5</x15:v>
          </x15:c>
        </x15:pivotRow>
        <x15:pivotRow count="1">
          <x15:c>
            <x15:v>254.5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OCENTI]"/>
        <x15:activeTabTopLevelEntity name="[CORSI_RECUPE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B1386-DCBC-496B-A03F-0A2F939B30CB}" name="PivotChartTable3" cacheId="266" applyNumberFormats="0" applyBorderFormats="0" applyFontFormats="0" applyPatternFormats="0" applyAlignmentFormats="0" applyWidthHeightFormats="1" dataCaption="Valori" updatedVersion="8" minRefreshableVersion="5" useAutoFormatting="1" itemPrintTitles="1" createdVersion="5" indent="0" outline="1" outlineData="1" multipleFieldFilters="0" chartFormat="1">
  <location ref="A1:B7" firstHeaderRow="1" firstDataRow="1" firstDataCol="1"/>
  <pivotFields count="4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nteggio di SEDE" fld="1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31"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filters count="1">
    <filter fld="2" type="dateBetween" evalOrder="-1" id="7" name="[CORSI_RECUPERO].[DATA INIZIO]">
      <autoFilter ref="A1">
        <filterColumn colId="0">
          <customFilters and="1">
            <customFilter operator="greaterThanOrEqual" val="45108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" columnCount="1" cacheId="1590649565">
        <x15:pivotRow count="1">
          <x15:c>
            <x15:v>6</x15:v>
          </x15:c>
        </x15:pivotRow>
        <x15:pivotRow count="1">
          <x15:c>
            <x15:v>6</x15:v>
          </x15:c>
        </x15:pivotRow>
        <x15:pivotRow count="1">
          <x15:c>
            <x15:v>6</x15:v>
          </x15:c>
        </x15:pivotRow>
        <x15:pivotRow count="1">
          <x15:c>
            <x15:v>6</x15:v>
          </x15:c>
        </x15:pivotRow>
        <x15:pivotRow count="1">
          <x15:c>
            <x15:v>6</x15:v>
          </x15:c>
        </x15:pivotRow>
        <x15:pivotRow count="1">
          <x15:c>
            <x15:v>30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CORSI_RECUPE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144C76-4E3E-4EDB-AD9E-ECBF263997B2}" name="PivotChartTable4" cacheId="269" applyNumberFormats="0" applyBorderFormats="0" applyFontFormats="0" applyPatternFormats="0" applyAlignmentFormats="0" applyWidthHeightFormats="1" dataCaption="Valori" updatedVersion="8" minRefreshableVersion="5" useAutoFormatting="1" itemPrintTitles="1" createdVersion="5" indent="0" outline="1" outlineData="1" multipleFieldFilters="0" chartFormat="1">
  <location ref="A1:B8" firstHeaderRow="1" firstDataRow="1" firstDataCol="1"/>
  <pivotFields count="3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Media di PREZZO" fld="1" subtotal="average" baseField="0" baseItem="9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1"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Media di PREZZO"/>
    <pivotHierarchy dragToData="1"/>
    <pivotHierarchy dragToData="1"/>
    <pivotHierarchy dragToData="1"/>
    <pivotHierarchy dragToData="1"/>
    <pivotHierarchy dragToData="1"/>
    <pivotHierarchy dragToData="1"/>
  </pivotHierarchies>
  <filters count="1">
    <filter fld="0" type="dateBetween" evalOrder="-1" id="10" name="[CORSI_RECUPERO].[DATA INIZIO]">
      <autoFilter ref="A1">
        <filterColumn colId="0">
          <customFilters and="1">
            <customFilter operator="greaterThanOrEqual" val="45108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1" cacheId="243579204">
        <x15:pivotRow count="1">
          <x15:c>
            <x15:v>296</x15:v>
          </x15:c>
        </x15:pivotRow>
        <x15:pivotRow count="1">
          <x15:c>
            <x15:v>296</x15:v>
          </x15:c>
        </x15:pivotRow>
        <x15:pivotRow count="1">
          <x15:c>
            <x15:v>296</x15:v>
          </x15:c>
        </x15:pivotRow>
        <x15:pivotRow count="1">
          <x15:c>
            <x15:v>213</x15:v>
          </x15:c>
        </x15:pivotRow>
        <x15:pivotRow count="1">
          <x15:c>
            <x15:v>213</x15:v>
          </x15:c>
        </x15:pivotRow>
        <x15:pivotRow count="1">
          <x15:c>
            <x15:v>213</x15:v>
          </x15:c>
        </x15:pivotRow>
        <x15:pivotRow count="1">
          <x15:c>
            <x15:v>254.5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CORSI_RECUPE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52E6E2-4A45-4A1B-AB97-D9D56EEFE6A5}" name="PivotChartTable5" cacheId="221" applyNumberFormats="0" applyBorderFormats="0" applyFontFormats="0" applyPatternFormats="0" applyAlignmentFormats="0" applyWidthHeightFormats="1" dataCaption="Valori" updatedVersion="8" minRefreshableVersion="3" useAutoFormatting="1" subtotalHiddenItems="1" itemPrintTitles="1" createdVersion="7" indent="0" outline="1" outlineData="1" multipleFieldFilters="0" chartFormat="1">
  <location ref="A1:G37" firstHeaderRow="1" firstDataRow="2" firstDataCol="1"/>
  <pivotFields count="5">
    <pivotField axis="axisRow" allDrilled="1" subtotalTop="0" showAll="0" dataSourceSort="1" defaultSubtotal="0" defaultAttributeDrillState="1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</pivotField>
    <pivotField axis="axisCol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2">
    <field x="2"/>
    <field x="0"/>
  </rowFields>
  <rowItems count="35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25"/>
    </i>
    <i r="1">
      <x v="26"/>
    </i>
    <i r="1">
      <x v="27"/>
    </i>
    <i r="1">
      <x v="28"/>
    </i>
    <i r="1">
      <x v="29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ma di DURATA (H)" fld="3" baseField="0" baseItem="0"/>
  </dataFields>
  <chartFormats count="5"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Hierarchies count="31"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2">
    <rowHierarchyUsage hierarchyUsage="7"/>
    <rowHierarchyUsage hierarchyUsage="0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35" columnCount="6" cacheId="1672661169">
        <x15:pivotRow count="6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6">
          <x15:c t="e">
            <x15:v/>
          </x15:c>
          <x15:c>
            <x15:v>60</x15:v>
          </x15:c>
          <x15:c t="e">
            <x15:v/>
          </x15:c>
          <x15:c t="e">
            <x15:v/>
          </x15:c>
          <x15:c t="e">
            <x15:v/>
          </x15:c>
          <x15:c>
            <x15:v>60</x15:v>
          </x15:c>
        </x15:pivotRow>
        <x15:pivotRow count="6">
          <x15:c t="e">
            <x15:v/>
          </x15:c>
          <x15:c>
            <x15:v>50</x15:v>
          </x15:c>
          <x15:c t="e">
            <x15:v/>
          </x15:c>
          <x15:c t="e">
            <x15:v/>
          </x15:c>
          <x15:c t="e">
            <x15:v/>
          </x15:c>
          <x15:c>
            <x15:v>50</x15:v>
          </x15:c>
        </x15:pivotRow>
        <x15:pivotRow count="6">
          <x15:c t="e">
            <x15:v/>
          </x15:c>
          <x15:c t="e">
            <x15:v/>
          </x15:c>
          <x15:c t="e">
            <x15:v/>
          </x15:c>
          <x15:c>
            <x15:v>40</x15:v>
          </x15:c>
          <x15:c t="e">
            <x15:v/>
          </x15:c>
          <x15:c>
            <x15:v>40</x15:v>
          </x15:c>
        </x15:pivotRow>
        <x15:pivotRow count="6">
          <x15:c t="e">
            <x15:v/>
          </x15:c>
          <x15:c t="e">
            <x15:v/>
          </x15:c>
          <x15:c>
            <x15:v>40</x15:v>
          </x15:c>
          <x15:c t="e">
            <x15:v/>
          </x15:c>
          <x15:c t="e">
            <x15:v/>
          </x15:c>
          <x15:c>
            <x15:v>40</x15:v>
          </x15:c>
        </x15:pivotRow>
        <x15:pivotRow count="6">
          <x15:c>
            <x15:v>60</x15:v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  <x15:c>
            <x15:v>60</x15:v>
          </x15:c>
        </x15:pivotRow>
        <x15:pivotRow count="6">
          <x15:c>
            <x15:v>50</x15:v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  <x15:c>
            <x15:v>50</x15:v>
          </x15:c>
        </x15:pivotRow>
        <x15:pivotRow count="6">
          <x15:c t="e">
            <x15:v/>
          </x15:c>
          <x15:c t="e">
            <x15:v/>
          </x15:c>
          <x15:c t="e">
            <x15:v/>
          </x15:c>
          <x15:c t="e">
            <x15:v/>
          </x15:c>
          <x15:c>
            <x15:v>60</x15:v>
          </x15:c>
          <x15:c>
            <x15:v>60</x15:v>
          </x15:c>
        </x15:pivotRow>
        <x15:pivotRow count="6">
          <x15:c t="e">
            <x15:v/>
          </x15:c>
          <x15:c t="e">
            <x15:v/>
          </x15:c>
          <x15:c t="e">
            <x15:v/>
          </x15:c>
          <x15:c t="e">
            <x15:v/>
          </x15:c>
          <x15:c>
            <x15:v>50</x15:v>
          </x15:c>
          <x15:c>
            <x15:v>50</x15:v>
          </x15:c>
        </x15:pivotRow>
        <x15:pivotRow count="6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6">
          <x15:c t="e">
            <x15:v/>
          </x15:c>
          <x15:c>
            <x15:v>60</x15:v>
          </x15:c>
          <x15:c t="e">
            <x15:v/>
          </x15:c>
          <x15:c t="e">
            <x15:v/>
          </x15:c>
          <x15:c t="e">
            <x15:v/>
          </x15:c>
          <x15:c>
            <x15:v>60</x15:v>
          </x15:c>
        </x15:pivotRow>
        <x15:pivotRow count="6">
          <x15:c t="e">
            <x15:v/>
          </x15:c>
          <x15:c t="e">
            <x15:v/>
          </x15:c>
          <x15:c t="e">
            <x15:v/>
          </x15:c>
          <x15:c>
            <x15:v>40</x15:v>
          </x15:c>
          <x15:c t="e">
            <x15:v/>
          </x15:c>
          <x15:c>
            <x15:v>40</x15:v>
          </x15:c>
        </x15:pivotRow>
        <x15:pivotRow count="6">
          <x15:c t="e">
            <x15:v/>
          </x15:c>
          <x15:c t="e">
            <x15:v/>
          </x15:c>
          <x15:c t="e">
            <x15:v/>
          </x15:c>
          <x15:c>
            <x15:v>30</x15:v>
          </x15:c>
          <x15:c t="e">
            <x15:v/>
          </x15:c>
          <x15:c>
            <x15:v>30</x15:v>
          </x15:c>
        </x15:pivotRow>
        <x15:pivotRow count="6">
          <x15:c t="e">
            <x15:v/>
          </x15:c>
          <x15:c t="e">
            <x15:v/>
          </x15:c>
          <x15:c>
            <x15:v>40</x15:v>
          </x15:c>
          <x15:c t="e">
            <x15:v/>
          </x15:c>
          <x15:c t="e">
            <x15:v/>
          </x15:c>
          <x15:c>
            <x15:v>40</x15:v>
          </x15:c>
        </x15:pivotRow>
        <x15:pivotRow count="6">
          <x15:c t="e">
            <x15:v/>
          </x15:c>
          <x15:c t="e">
            <x15:v/>
          </x15:c>
          <x15:c>
            <x15:v>30</x15:v>
          </x15:c>
          <x15:c t="e">
            <x15:v/>
          </x15:c>
          <x15:c t="e">
            <x15:v/>
          </x15:c>
          <x15:c>
            <x15:v>30</x15:v>
          </x15:c>
        </x15:pivotRow>
        <x15:pivotRow count="6">
          <x15:c>
            <x15:v>50</x15:v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  <x15:c>
            <x15:v>50</x15:v>
          </x15:c>
        </x15:pivotRow>
        <x15:pivotRow count="6">
          <x15:c t="e">
            <x15:v/>
          </x15:c>
          <x15:c t="e">
            <x15:v/>
          </x15:c>
          <x15:c t="e">
            <x15:v/>
          </x15:c>
          <x15:c t="e">
            <x15:v/>
          </x15:c>
          <x15:c>
            <x15:v>60</x15:v>
          </x15:c>
          <x15:c>
            <x15:v>60</x15:v>
          </x15:c>
        </x15:pivotRow>
        <x15:pivotRow count="6">
          <x15:c t="e">
            <x15:v/>
          </x15:c>
          <x15:c t="e">
            <x15:v/>
          </x15:c>
          <x15:c t="e">
            <x15:v/>
          </x15:c>
          <x15:c t="e">
            <x15:v/>
          </x15:c>
          <x15:c>
            <x15:v>50</x15:v>
          </x15:c>
          <x15:c>
            <x15:v>50</x15:v>
          </x15:c>
        </x15:pivotRow>
        <x15:pivotRow count="6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6">
          <x15:c t="e">
            <x15:v/>
          </x15:c>
          <x15:c>
            <x15:v>60</x15:v>
          </x15:c>
          <x15:c t="e">
            <x15:v/>
          </x15:c>
          <x15:c t="e">
            <x15:v/>
          </x15:c>
          <x15:c t="e">
            <x15:v/>
          </x15:c>
          <x15:c>
            <x15:v>60</x15:v>
          </x15:c>
        </x15:pivotRow>
        <x15:pivotRow count="6">
          <x15:c t="e">
            <x15:v/>
          </x15:c>
          <x15:c>
            <x15:v>50</x15:v>
          </x15:c>
          <x15:c t="e">
            <x15:v/>
          </x15:c>
          <x15:c t="e">
            <x15:v/>
          </x15:c>
          <x15:c t="e">
            <x15:v/>
          </x15:c>
          <x15:c>
            <x15:v>50</x15:v>
          </x15:c>
        </x15:pivotRow>
        <x15:pivotRow count="6">
          <x15:c t="e">
            <x15:v/>
          </x15:c>
          <x15:c t="e">
            <x15:v/>
          </x15:c>
          <x15:c t="e">
            <x15:v/>
          </x15:c>
          <x15:c>
            <x15:v>40</x15:v>
          </x15:c>
          <x15:c t="e">
            <x15:v/>
          </x15:c>
          <x15:c>
            <x15:v>40</x15:v>
          </x15:c>
        </x15:pivotRow>
        <x15:pivotRow count="6">
          <x15:c t="e">
            <x15:v/>
          </x15:c>
          <x15:c t="e">
            <x15:v/>
          </x15:c>
          <x15:c t="e">
            <x15:v/>
          </x15:c>
          <x15:c>
            <x15:v>30</x15:v>
          </x15:c>
          <x15:c t="e">
            <x15:v/>
          </x15:c>
          <x15:c>
            <x15:v>30</x15:v>
          </x15:c>
        </x15:pivotRow>
        <x15:pivotRow count="6">
          <x15:c t="e">
            <x15:v/>
          </x15:c>
          <x15:c t="e">
            <x15:v/>
          </x15:c>
          <x15:c>
            <x15:v>40</x15:v>
          </x15:c>
          <x15:c t="e">
            <x15:v/>
          </x15:c>
          <x15:c t="e">
            <x15:v/>
          </x15:c>
          <x15:c>
            <x15:v>40</x15:v>
          </x15:c>
        </x15:pivotRow>
        <x15:pivotRow count="6">
          <x15:c t="e">
            <x15:v/>
          </x15:c>
          <x15:c t="e">
            <x15:v/>
          </x15:c>
          <x15:c>
            <x15:v>30</x15:v>
          </x15:c>
          <x15:c t="e">
            <x15:v/>
          </x15:c>
          <x15:c t="e">
            <x15:v/>
          </x15:c>
          <x15:c>
            <x15:v>30</x15:v>
          </x15:c>
        </x15:pivotRow>
        <x15:pivotRow count="6">
          <x15:c>
            <x15:v>60</x15:v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  <x15:c>
            <x15:v>60</x15:v>
          </x15:c>
        </x15:pivotRow>
        <x15:pivotRow count="6">
          <x15:c>
            <x15:v>50</x15:v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  <x15:c>
            <x15:v>50</x15:v>
          </x15:c>
        </x15:pivotRow>
        <x15:pivotRow count="6">
          <x15:c t="e">
            <x15:v/>
          </x15:c>
          <x15:c t="e">
            <x15:v/>
          </x15:c>
          <x15:c t="e">
            <x15:v/>
          </x15:c>
          <x15:c t="e">
            <x15:v/>
          </x15:c>
          <x15:c>
            <x15:v>60</x15:v>
          </x15:c>
          <x15:c>
            <x15:v>60</x15:v>
          </x15:c>
        </x15:pivotRow>
        <x15:pivotRow count="6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6">
          <x15:c t="e">
            <x15:v/>
          </x15:c>
          <x15:c>
            <x15:v>50</x15:v>
          </x15:c>
          <x15:c t="e">
            <x15:v/>
          </x15:c>
          <x15:c t="e">
            <x15:v/>
          </x15:c>
          <x15:c t="e">
            <x15:v/>
          </x15:c>
          <x15:c>
            <x15:v>50</x15:v>
          </x15:c>
        </x15:pivotRow>
        <x15:pivotRow count="6">
          <x15:c t="e">
            <x15:v/>
          </x15:c>
          <x15:c t="e">
            <x15:v/>
          </x15:c>
          <x15:c t="e">
            <x15:v/>
          </x15:c>
          <x15:c>
            <x15:v>30</x15:v>
          </x15:c>
          <x15:c t="e">
            <x15:v/>
          </x15:c>
          <x15:c>
            <x15:v>30</x15:v>
          </x15:c>
        </x15:pivotRow>
        <x15:pivotRow count="6">
          <x15:c t="e">
            <x15:v/>
          </x15:c>
          <x15:c t="e">
            <x15:v/>
          </x15:c>
          <x15:c>
            <x15:v>30</x15:v>
          </x15:c>
          <x15:c t="e">
            <x15:v/>
          </x15:c>
          <x15:c t="e">
            <x15:v/>
          </x15:c>
          <x15:c>
            <x15:v>30</x15:v>
          </x15:c>
        </x15:pivotRow>
        <x15:pivotRow count="6">
          <x15:c>
            <x15:v>60</x15:v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  <x15:c>
            <x15:v>60</x15:v>
          </x15:c>
        </x15:pivotRow>
        <x15:pivotRow count="6">
          <x15:c t="e">
            <x15:v/>
          </x15:c>
          <x15:c t="e">
            <x15:v/>
          </x15:c>
          <x15:c t="e">
            <x15:v/>
          </x15:c>
          <x15:c t="e">
            <x15:v/>
          </x15:c>
          <x15:c>
            <x15:v>50</x15:v>
          </x15:c>
          <x15:c>
            <x15:v>50</x15:v>
          </x15:c>
        </x15:pivotRow>
        <x15:pivotRow count="6">
          <x15:c>
            <x15:v>330</x15:v>
          </x15:c>
          <x15:c>
            <x15:v>330</x15:v>
          </x15:c>
          <x15:c>
            <x15:v>210</x15:v>
          </x15:c>
          <x15:c>
            <x15:v>210</x15:v>
          </x15:c>
          <x15:c>
            <x15:v>330</x15:v>
          </x15:c>
          <x15:c>
            <x15:v>1410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CORSI_RECUPE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F45F27-2244-4291-AFD6-D15C846D9B4F}" name="Tabella pivot8" cacheId="218" applyNumberFormats="0" applyBorderFormats="0" applyFontFormats="0" applyPatternFormats="0" applyAlignmentFormats="0" applyWidthHeightFormats="1" dataCaption="Valori" tag="5f8bd9aa-2c16-4949-8230-aac572b9b62e" updatedVersion="8" minRefreshableVersion="3" useAutoFormatting="1" subtotalHiddenItems="1" itemPrintTitles="1" createdVersion="7" indent="0" outline="1" outlineData="1" multipleFieldFilters="0" rowHeaderCaption="Luogo e titolo corso">
  <location ref="V3:X38" firstHeaderRow="0" firstDataRow="1" firstDataCol="1"/>
  <pivotFields count="5">
    <pivotField axis="axisRow" allDrilled="1" subtotalTop="0" showAll="0" dataSourceSort="1" defaultSubtotal="0" defaultAttributeDrillState="1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2">
    <field x="1"/>
    <field x="0"/>
  </rowFields>
  <rowItems count="35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25"/>
    </i>
    <i r="1">
      <x v="26"/>
    </i>
    <i r="1">
      <x v="27"/>
    </i>
    <i r="1">
      <x v="28"/>
    </i>
    <i r="1">
      <x v="29"/>
    </i>
    <i t="grand">
      <x/>
    </i>
  </rowItems>
  <colFields count="1">
    <field x="-2"/>
  </colFields>
  <colItems count="2">
    <i>
      <x/>
    </i>
    <i i="1">
      <x v="1"/>
    </i>
  </colItems>
  <dataFields count="2">
    <dataField name="PREZZO" fld="2" baseField="0" baseItem="0" numFmtId="164"/>
    <dataField name="DURATA (H)" fld="3" baseField="1" baseItem="0"/>
  </dataFields>
  <formats count="23">
    <format dxfId="471">
      <pivotArea type="all" dataOnly="0" outline="0" fieldPosition="0"/>
    </format>
    <format dxfId="470">
      <pivotArea outline="0" collapsedLevelsAreSubtotals="1" fieldPosition="0"/>
    </format>
    <format dxfId="469">
      <pivotArea field="1" type="button" dataOnly="0" labelOnly="1" outline="0" axis="axisRow" fieldPosition="0"/>
    </format>
    <format dxfId="468">
      <pivotArea dataOnly="0" labelOnly="1" fieldPosition="0">
        <references count="1">
          <reference field="1" count="0"/>
        </references>
      </pivotArea>
    </format>
    <format dxfId="467">
      <pivotArea dataOnly="0" labelOnly="1" grandRow="1" outline="0" fieldPosition="0"/>
    </format>
    <format dxfId="466">
      <pivotArea dataOnly="0" labelOnly="1" fieldPosition="0">
        <references count="2">
          <reference field="0" count="8">
            <x v="0"/>
            <x v="1"/>
            <x v="2"/>
            <x v="3"/>
            <x v="4"/>
            <x v="5"/>
            <x v="6"/>
            <x v="7"/>
          </reference>
          <reference field="1" count="1" selected="0">
            <x v="0"/>
          </reference>
        </references>
      </pivotArea>
    </format>
    <format dxfId="465">
      <pivotArea dataOnly="0" labelOnly="1" fieldPosition="0">
        <references count="2">
          <reference field="0" count="8">
            <x v="8"/>
            <x v="9"/>
            <x v="10"/>
            <x v="11"/>
            <x v="12"/>
            <x v="13"/>
            <x v="14"/>
            <x v="15"/>
          </reference>
          <reference field="1" count="1" selected="0">
            <x v="1"/>
          </reference>
        </references>
      </pivotArea>
    </format>
    <format dxfId="464">
      <pivotArea dataOnly="0" labelOnly="1" fieldPosition="0">
        <references count="2">
          <reference field="0" count="9">
            <x v="16"/>
            <x v="17"/>
            <x v="18"/>
            <x v="19"/>
            <x v="20"/>
            <x v="21"/>
            <x v="22"/>
            <x v="23"/>
            <x v="24"/>
          </reference>
          <reference field="1" count="1" selected="0">
            <x v="2"/>
          </reference>
        </references>
      </pivotArea>
    </format>
    <format dxfId="463">
      <pivotArea dataOnly="0" labelOnly="1" fieldPosition="0">
        <references count="2">
          <reference field="0" count="5">
            <x v="25"/>
            <x v="26"/>
            <x v="27"/>
            <x v="28"/>
            <x v="29"/>
          </reference>
          <reference field="1" count="1" selected="0">
            <x v="3"/>
          </reference>
        </references>
      </pivotArea>
    </format>
    <format dxfId="4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61">
      <pivotArea outline="0" fieldPosition="0">
        <references count="1">
          <reference field="4294967294" count="1">
            <x v="0"/>
          </reference>
        </references>
      </pivotArea>
    </format>
    <format dxfId="460">
      <pivotArea collapsedLevelsAreSubtotals="1" fieldPosition="0">
        <references count="1">
          <reference field="1" count="1">
            <x v="0"/>
          </reference>
        </references>
      </pivotArea>
    </format>
    <format dxfId="288">
      <pivotArea collapsedLevelsAreSubtotals="1" fieldPosition="0">
        <references count="1">
          <reference field="1" count="1">
            <x v="0"/>
          </reference>
        </references>
      </pivotArea>
    </format>
    <format dxfId="286">
      <pivotArea collapsedLevelsAreSubtotals="1" fieldPosition="0">
        <references count="2">
          <reference field="4294967294" count="1" selected="0">
            <x v="0"/>
          </reference>
          <reference field="1" count="1">
            <x v="0"/>
          </reference>
        </references>
      </pivotArea>
    </format>
    <format dxfId="285">
      <pivotArea collapsedLevelsAreSubtotals="1" fieldPosition="0">
        <references count="1">
          <reference field="1" count="1">
            <x v="1"/>
          </reference>
        </references>
      </pivotArea>
    </format>
    <format dxfId="14">
      <pivotArea collapsedLevelsAreSubtotals="1" fieldPosition="0">
        <references count="1">
          <reference field="1" count="1">
            <x v="0"/>
          </reference>
        </references>
      </pivotArea>
    </format>
    <format dxfId="12">
      <pivotArea dataOnly="0" labelOnly="1" fieldPosition="0">
        <references count="1">
          <reference field="1" count="1">
            <x v="0"/>
          </reference>
        </references>
      </pivotArea>
    </format>
    <format dxfId="10">
      <pivotArea collapsedLevelsAreSubtotals="1" fieldPosition="0">
        <references count="1">
          <reference field="1" count="1">
            <x v="1"/>
          </reference>
        </references>
      </pivotArea>
    </format>
    <format dxfId="9">
      <pivotArea dataOnly="0" labelOnly="1" fieldPosition="0">
        <references count="1">
          <reference field="1" count="1">
            <x v="1"/>
          </reference>
        </references>
      </pivotArea>
    </format>
    <format dxfId="7">
      <pivotArea collapsedLevelsAreSubtotals="1" fieldPosition="0">
        <references count="1">
          <reference field="1" count="1">
            <x v="2"/>
          </reference>
        </references>
      </pivotArea>
    </format>
    <format dxfId="5">
      <pivotArea dataOnly="0" labelOnly="1" fieldPosition="0">
        <references count="1">
          <reference field="1" count="1">
            <x v="2"/>
          </reference>
        </references>
      </pivotArea>
    </format>
    <format dxfId="3">
      <pivotArea collapsedLevelsAreSubtotals="1" fieldPosition="0">
        <references count="1">
          <reference field="1" count="1">
            <x v="3"/>
          </reference>
        </references>
      </pivotArea>
    </format>
    <format dxfId="1">
      <pivotArea dataOnly="0" labelOnly="1" fieldPosition="0">
        <references count="1">
          <reference field="1" count="1">
            <x v="3"/>
          </reference>
        </references>
      </pivotArea>
    </format>
  </formats>
  <pivotHierarchies count="31"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PREZZO"/>
    <pivotHierarchy dragToData="1"/>
    <pivotHierarchy dragToData="1" caption="DURATA (H)"/>
    <pivotHierarchy dragToData="1"/>
    <pivotHierarchy dragToData="1"/>
    <pivotHierarchy dragToData="1"/>
    <pivotHierarchy dragToData="1"/>
    <pivotHierarchy dragToData="1"/>
  </pivotHierarchies>
  <pivotTableStyleInfo name="PivotStyleDark6" showRowHeaders="1" showColHeaders="1" showRowStripes="0" showColStripes="0" showLastColumn="1"/>
  <rowHierarchiesUsage count="2">
    <rowHierarchyUsage hierarchyUsage="7"/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RSI_RECUPERO]"/>
        <x15:activeTabTopLevelEntity name="[DOCENT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DB17E0-A89F-4AE1-BEEA-88123C2D1416}" name="Tabella pivot2" cacheId="255" applyNumberFormats="0" applyBorderFormats="0" applyFontFormats="0" applyPatternFormats="0" applyAlignmentFormats="0" applyWidthHeightFormats="1" dataCaption="Valori" tag="e7e7964b-afc4-41c0-bc6d-27d4378889f9" updatedVersion="8" minRefreshableVersion="5" useAutoFormatting="1" subtotalHiddenItems="1" itemPrintTitles="1" createdVersion="5" indent="0" outline="1" outlineData="1" multipleFieldFilters="0" chartFormat="2" rowHeaderCaption="DOCENTI">
  <location ref="M8:N24" firstHeaderRow="1" firstDataRow="1" firstDataCol="1"/>
  <pivotFields count="4"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TOTALE ORE (H)" fld="1" baseField="0" baseItem="0" numFmtId="1"/>
  </dataFields>
  <formats count="7">
    <format dxfId="260">
      <pivotArea outline="0" collapsedLevelsAreSubtotals="1" fieldPosition="0"/>
    </format>
    <format dxfId="261">
      <pivotArea type="all" dataOnly="0" outline="0" fieldPosition="0"/>
    </format>
    <format dxfId="262">
      <pivotArea outline="0" collapsedLevelsAreSubtotals="1" fieldPosition="0"/>
    </format>
    <format dxfId="263">
      <pivotArea field="0" type="button" dataOnly="0" labelOnly="1" outline="0" axis="axisRow" fieldPosition="0"/>
    </format>
    <format dxfId="264">
      <pivotArea dataOnly="0" labelOnly="1" fieldPosition="0">
        <references count="1">
          <reference field="0" count="0"/>
        </references>
      </pivotArea>
    </format>
    <format dxfId="265">
      <pivotArea dataOnly="0" labelOnly="1" grandRow="1" outline="0" fieldPosition="0"/>
    </format>
    <format dxfId="266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1"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Media di PREZZO2"/>
    <pivotHierarchy dragToData="1" caption="TOTALE ORE (H)"/>
    <pivotHierarchy dragToData="1"/>
    <pivotHierarchy dragToData="1"/>
    <pivotHierarchy dragToData="1"/>
    <pivotHierarchy dragToData="1"/>
    <pivotHierarchy dragToData="1"/>
  </pivotHierarchies>
  <pivotTableStyleInfo name="PivotStyleDark6" showRowHeaders="1" showColHeaders="1" showRowStripes="0" showColStripes="0" showLastColumn="1"/>
  <filters count="1">
    <filter fld="2" type="dateBetween" evalOrder="-1" id="6" name="[CORSI_RECUPERO].[DATA INIZIO]">
      <autoFilter ref="A1">
        <filterColumn colId="0">
          <customFilters and="1">
            <customFilter operator="greaterThanOrEqual" val="45108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RSI_RECUPE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AE92C8-2F90-4247-AECE-B54F4337E813}" name="Tabella pivot1" cacheId="252" applyNumberFormats="0" applyBorderFormats="0" applyFontFormats="0" applyPatternFormats="0" applyAlignmentFormats="0" applyWidthHeightFormats="1" dataCaption="Valori" tag="cd5afbff-f54a-4bbb-b95c-b48fb37c6f69" updatedVersion="8" minRefreshableVersion="5" useAutoFormatting="1" subtotalHiddenItems="1" itemPrintTitles="1" createdVersion="5" indent="0" outline="1" outlineData="1" multipleFieldFilters="0" chartFormat="2" rowHeaderCaption="DOCENTI">
  <location ref="I8:K24" firstHeaderRow="0" firstDataRow="1" firstDataCol="1"/>
  <pivotFields count="5"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subtotalTop="0" showAll="0" defaultSubtotal="0"/>
    <pivotField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E PREZZI" fld="3" baseField="0" baseItem="0"/>
    <dataField name="MEDIA PREZZI" fld="1" subtotal="average" baseField="0" baseItem="0"/>
  </dataFields>
  <formats count="8">
    <format dxfId="267">
      <pivotArea outline="0" collapsedLevelsAreSubtotals="1" fieldPosition="0"/>
    </format>
    <format dxfId="26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69">
      <pivotArea type="all" dataOnly="0" outline="0" fieldPosition="0"/>
    </format>
    <format dxfId="270">
      <pivotArea outline="0" collapsedLevelsAreSubtotals="1" fieldPosition="0"/>
    </format>
    <format dxfId="271">
      <pivotArea field="0" type="button" dataOnly="0" labelOnly="1" outline="0" axis="axisRow" fieldPosition="0"/>
    </format>
    <format dxfId="272">
      <pivotArea dataOnly="0" labelOnly="1" fieldPosition="0">
        <references count="1">
          <reference field="0" count="0"/>
        </references>
      </pivotArea>
    </format>
    <format dxfId="273">
      <pivotArea dataOnly="0" labelOnly="1" grandRow="1" outline="0" fieldPosition="0"/>
    </format>
    <format dxfId="274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1"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TOTALE PREZZI"/>
    <pivotHierarchy dragToData="1" caption="MEDIA PREZZI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Dark6" showRowHeaders="1" showColHeaders="1" showRowStripes="0" showColStripes="0" showLastColumn="1"/>
  <filters count="1">
    <filter fld="2" type="dateBetween" evalOrder="-1" id="6" name="[CORSI_RECUPERO].[DATA INIZIO]">
      <autoFilter ref="A1">
        <filterColumn colId="0">
          <customFilters and="1">
            <customFilter operator="greaterThanOrEqual" val="45108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RSI_RECUPE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6A9F9B-D4F9-4A0D-8A29-F2578013B16E}" name="Tabella pivot4" cacheId="260" applyNumberFormats="0" applyBorderFormats="0" applyFontFormats="0" applyPatternFormats="0" applyAlignmentFormats="0" applyWidthHeightFormats="1" dataCaption="Valori" tag="b1da8758-8b33-42c8-9c22-1bf8ac67d68c" updatedVersion="8" minRefreshableVersion="5" useAutoFormatting="1" subtotalHiddenItems="1" itemPrintTitles="1" createdVersion="5" indent="0" outline="1" outlineData="1" multipleFieldFilters="0" chartFormat="2" rowHeaderCaption="MATERIE\SEDI">
  <location ref="P16:Q42" firstHeaderRow="1" firstDataRow="1" firstDataCol="1"/>
  <pivotFields count="5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llDrilled="1" subtotalTop="0" showAll="0" dataSourceSort="1" defaultSubtotal="0" defaultAttributeDrillState="1"/>
  </pivotFields>
  <rowFields count="2">
    <field x="3"/>
    <field x="0"/>
  </rowFields>
  <rowItems count="2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N° DOCENTI" fld="1" subtotal="count" baseField="0" baseItem="0"/>
  </dataFields>
  <formats count="7">
    <format dxfId="275">
      <pivotArea outline="0" collapsedLevelsAreSubtotals="1" fieldPosition="0"/>
    </format>
    <format dxfId="276">
      <pivotArea grandRow="1" outline="0" collapsedLevelsAreSubtotals="1" fieldPosition="0"/>
    </format>
    <format dxfId="277">
      <pivotArea dataOnly="0" labelOnly="1" outline="0" axis="axisValues" fieldPosition="0"/>
    </format>
    <format dxfId="278">
      <pivotArea type="all" dataOnly="0" outline="0" fieldPosition="0"/>
    </format>
    <format dxfId="279">
      <pivotArea outline="0" collapsedLevelsAreSubtotals="1" fieldPosition="0"/>
    </format>
    <format dxfId="280">
      <pivotArea dataOnly="0" labelOnly="1" grandRow="1" outline="0" fieldPosition="0"/>
    </format>
    <format dxfId="281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1"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Media di PREZZO2"/>
    <pivotHierarchy dragToData="1"/>
    <pivotHierarchy dragToData="1" caption="N° DOCENTI"/>
    <pivotHierarchy dragToData="1"/>
    <pivotHierarchy dragToData="1"/>
    <pivotHierarchy dragToData="1"/>
    <pivotHierarchy dragToData="1"/>
  </pivotHierarchies>
  <pivotTableStyleInfo name="PivotStyleDark6" showRowHeaders="1" showColHeaders="1" showRowStripes="0" showColStripes="0" showLastColumn="1"/>
  <filters count="1">
    <filter fld="2" type="dateBetween" evalOrder="-1" id="6" name="[CORSI_RECUPERO].[DATA INIZIO]">
      <autoFilter ref="A1">
        <filterColumn colId="0">
          <customFilters and="1">
            <customFilter operator="greaterThanOrEqual" val="45108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2">
    <rowHierarchyUsage hierarchyUsage="1"/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RSI_RECUPERO]"/>
        <x15:activeTabTopLevelEntity name="[SEDI]"/>
        <x15:activeTabTopLevelEntity name="[DOCENT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3A540-F767-40E9-A308-AC2DFC9FA53F}" name="Tabella pivot3" cacheId="258" applyNumberFormats="0" applyBorderFormats="0" applyFontFormats="0" applyPatternFormats="0" applyAlignmentFormats="0" applyWidthHeightFormats="1" dataCaption="Valori" tag="79261c7f-fad0-4d2c-99b5-fcca84465508" updatedVersion="8" minRefreshableVersion="5" useAutoFormatting="1" subtotalHiddenItems="1" itemPrintTitles="1" createdVersion="5" indent="0" outline="1" outlineData="1" multipleFieldFilters="0" chartFormat="2" rowHeaderCaption="SEDI">
  <location ref="P8:Q13" firstHeaderRow="1" firstDataRow="1" firstDataCol="1"/>
  <pivotFields count="4"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E ORE (H)" fld="0" baseField="1" baseItem="0" numFmtId="1"/>
  </dataFields>
  <formats count="7">
    <format dxfId="253">
      <pivotArea outline="0" collapsedLevelsAreSubtotals="1" fieldPosition="0"/>
    </format>
    <format dxfId="254">
      <pivotArea type="all" dataOnly="0" outline="0" fieldPosition="0"/>
    </format>
    <format dxfId="255">
      <pivotArea outline="0" collapsedLevelsAreSubtotals="1" fieldPosition="0"/>
    </format>
    <format dxfId="256">
      <pivotArea field="1" type="button" dataOnly="0" labelOnly="1" outline="0" axis="axisRow" fieldPosition="0"/>
    </format>
    <format dxfId="257">
      <pivotArea dataOnly="0" labelOnly="1" fieldPosition="0">
        <references count="1">
          <reference field="1" count="0"/>
        </references>
      </pivotArea>
    </format>
    <format dxfId="258">
      <pivotArea dataOnly="0" labelOnly="1" grandRow="1" outline="0" fieldPosition="0"/>
    </format>
    <format dxfId="259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1"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Media di PREZZO2"/>
    <pivotHierarchy dragToData="1" caption="TOTALE ORE (H)"/>
    <pivotHierarchy dragToData="1"/>
    <pivotHierarchy dragToData="1"/>
    <pivotHierarchy dragToData="1"/>
    <pivotHierarchy dragToData="1"/>
    <pivotHierarchy dragToData="1"/>
  </pivotHierarchies>
  <pivotTableStyleInfo name="PivotStyleDark6" showRowHeaders="1" showColHeaders="1" showRowStripes="0" showColStripes="0" showLastColumn="1"/>
  <filters count="1">
    <filter fld="2" type="dateBetween" evalOrder="-1" id="6" name="[CORSI_RECUPERO].[DATA INIZIO]">
      <autoFilter ref="A1">
        <filterColumn colId="0">
          <customFilters and="1">
            <customFilter operator="greaterThanOrEqual" val="45108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RSI_RECUPERO]"/>
        <x15:activeTabTopLevelEntity name="[SED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190C7279-42C7-4846-A05B-3FFC2D8406F1}" autoFormatId="16" applyNumberFormats="0" applyBorderFormats="0" applyFontFormats="0" applyPatternFormats="0" applyAlignmentFormats="0" applyWidthHeightFormats="0">
  <queryTableRefresh nextId="9">
    <queryTableFields count="8">
      <queryTableField id="1" name="TITOLO CORSO" tableColumnId="1"/>
      <queryTableField id="8" dataBound="0" tableColumnId="8"/>
      <queryTableField id="2" name="DATA INIZIO" tableColumnId="2"/>
      <queryTableField id="3" name="DATA FINE" tableColumnId="3"/>
      <queryTableField id="4" name="DURATA (H)" tableColumnId="4"/>
      <queryTableField id="5" name="PREZZO" tableColumnId="5"/>
      <queryTableField id="6" name="DOCENTE" tableColumnId="6"/>
      <queryTableField id="7" name="SED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2" xr16:uid="{2973E807-B324-4BF7-8446-52246D6DB833}" autoFormatId="16" applyNumberFormats="0" applyBorderFormats="0" applyFontFormats="0" applyPatternFormats="0" applyAlignmentFormats="0" applyWidthHeightFormats="0">
  <queryTableRefresh nextId="9">
    <queryTableFields count="4">
      <queryTableField id="1" name="NOME E COGNOME" tableColumnId="1"/>
      <queryTableField id="2" name="DATA DI NASCITA" tableColumnId="2"/>
      <queryTableField id="3" name="CITTA' RESIDENZA" tableColumnId="3"/>
      <queryTableField id="4" name="MATERIA" tableColumnId="4"/>
    </queryTableFields>
    <queryTableDeletedFields count="4">
      <deletedField name="SEDE"/>
      <deletedField name="TIPOLOGIA"/>
      <deletedField name="N°CLASSI"/>
      <deletedField name="ORE TOTALI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3" connectionId="3" xr16:uid="{09F56F89-7114-48B4-B627-EB58350DE313}" autoFormatId="16" applyNumberFormats="0" applyBorderFormats="0" applyFontFormats="0" applyPatternFormats="0" applyAlignmentFormats="0" applyWidthHeightFormats="0">
  <queryTableRefresh nextId="4">
    <queryTableFields count="3">
      <queryTableField id="1" name="SEDE" tableColumnId="1"/>
      <queryTableField id="2" name="INDIRIZZO" tableColumnId="2"/>
      <queryTableField id="3" name="CAPIENZA AULA" tableColumnId="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Materia" xr10:uid="{015540DC-F088-448A-B2A4-C8C96239859E}" sourceName="[CORSI_RECUPERO].[Materia]">
  <pivotTables>
    <pivotTable tabId="7" name="Tabella pivot1"/>
    <pivotTable tabId="7" name="Tabella pivot2"/>
    <pivotTable tabId="7" name="Tabella pivot3"/>
    <pivotTable tabId="7" name="Tabella pivot4"/>
  </pivotTables>
  <data>
    <olap pivotCacheId="1498746060">
      <levels count="2">
        <level uniqueName="[CORSI_RECUPERO].[Materia].[(All)]" sourceCaption="(All)" count="0"/>
        <level uniqueName="[CORSI_RECUPERO].[Materia].[Materia]" sourceCaption="Materia" count="5">
          <ranges>
            <range startItem="0">
              <i n="[CORSI_RECUPERO].[Materia].&amp;[FILOSOFIA]" c="FILOSOFIA"/>
              <i n="[CORSI_RECUPERO].[Materia].&amp;[FISICA]" c="FISICA"/>
              <i n="[CORSI_RECUPERO].[Materia].&amp;[LETTERATURA]" c="LETTERATURA"/>
              <i n="[CORSI_RECUPERO].[Materia].&amp;[LINGUE]" c="LINGUE"/>
              <i n="[CORSI_RECUPERO].[Materia].&amp;[MATEMATICA]" c="MATEMATICA"/>
            </range>
          </ranges>
        </level>
      </levels>
      <selections count="1">
        <selection n="[CORSI_RECUPERO].[Materia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DOCENTE1" xr10:uid="{CF84C3D4-ED6D-45C1-906A-FC27640B2A24}" sourceName="[CORSI_RECUPERO].[DOCENTE]">
  <pivotTables>
    <pivotTable tabId="10" name="Tabella pivot8"/>
  </pivotTables>
  <data>
    <olap pivotCacheId="179179687">
      <levels count="2">
        <level uniqueName="[CORSI_RECUPERO].[DOCENTE].[(All)]" sourceCaption="(All)" count="0"/>
        <level uniqueName="[CORSI_RECUPERO].[DOCENTE].[DOCENTE]" sourceCaption="DOCENTE" count="15">
          <ranges>
            <range startItem="0">
              <i n="[CORSI_RECUPERO].[DOCENTE].&amp;[Concetto Strano]" c="Concetto Strano"/>
              <i n="[CORSI_RECUPERO].[DOCENTE].&amp;[Emiliana Lasagna]" c="Emiliana Lasagna"/>
              <i n="[CORSI_RECUPERO].[DOCENTE].&amp;[Ennio Annio]" c="Ennio Annio"/>
              <i n="[CORSI_RECUPERO].[DOCENTE].&amp;[Feve Andrea]" c="Feve Andrea"/>
              <i n="[CORSI_RECUPERO].[DOCENTE].&amp;[Fove Anna]" c="Fove Anna"/>
              <i n="[CORSI_RECUPERO].[DOCENTE].&amp;[Franco Forte]" c="Franco Forte"/>
              <i n="[CORSI_RECUPERO].[DOCENTE].&amp;[Giulia Gorgini]" c="Giulia Gorgini"/>
              <i n="[CORSI_RECUPERO].[DOCENTE].&amp;[Lindo Ferretti]" c="Lindo Ferretti"/>
              <i n="[CORSI_RECUPERO].[DOCENTE].&amp;[Maccio Capatonda]" c="Maccio Capatonda"/>
              <i n="[CORSI_RECUPERO].[DOCENTE].&amp;[Manno Assunta]" c="Manno Assunta"/>
              <i n="[CORSI_RECUPERO].[DOCENTE].&amp;[Perla Madonna]" c="Perla Madonna"/>
              <i n="[CORSI_RECUPERO].[DOCENTE].&amp;[Pippo Longhi]" c="Pippo Longhi"/>
              <i n="[CORSI_RECUPERO].[DOCENTE].&amp;[Pluto Marini]" c="Pluto Marini"/>
              <i n="[CORSI_RECUPERO].[DOCENTE].&amp;[Rosa Fiocco]" c="Rosa Fiocco"/>
              <i n="[CORSI_RECUPERO].[DOCENTE].&amp;[Santa Pazienza]" c="Santa Pazienza"/>
            </range>
          </ranges>
        </level>
      </levels>
      <selections count="1">
        <selection n="[CORSI_RECUPERO].[DOCENT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5"/>
      </x15:slicerCachePivotTables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SEDE1" xr10:uid="{FB54984D-3DCD-496D-A9DD-8765BAA53359}" sourceName="[CORSI_RECUPERO].[SEDE]">
  <pivotTables>
    <pivotTable tabId="10" name="Tabella pivot8"/>
  </pivotTables>
  <data>
    <olap pivotCacheId="179179687">
      <levels count="2">
        <level uniqueName="[CORSI_RECUPERO].[SEDE].[(All)]" sourceCaption="(All)" count="0"/>
        <level uniqueName="[CORSI_RECUPERO].[SEDE].[SEDE]" sourceCaption="SEDE" count="4">
          <ranges>
            <range startItem="0">
              <i n="[CORSI_RECUPERO].[SEDE].&amp;[Bari]" c="Bari"/>
              <i n="[CORSI_RECUPERO].[SEDE].&amp;[Bologna]" c="Bologna"/>
              <i n="[CORSI_RECUPERO].[SEDE].&amp;[Napoli]" c="Napoli"/>
              <i n="[CORSI_RECUPERO].[SEDE].&amp;[Online]" c="Online"/>
            </range>
          </ranges>
        </level>
      </levels>
      <selections count="1">
        <selection n="[CORSI_RECUPERO].[SED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5"/>
      </x15:slicerCachePivotTables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DOCENTE2" xr10:uid="{F95D547A-AFCB-4C09-A34B-4731CFE1972E}" sourceName="[CORSI_RECUPERO].[DOCENTE]">
  <pivotTables>
    <pivotTable tabId="7" name="Tabella pivot4"/>
    <pivotTable tabId="7" name="Tabella pivot3"/>
    <pivotTable tabId="7" name="Tabella pivot2"/>
    <pivotTable tabId="7" name="Tabella pivot1"/>
  </pivotTables>
  <data>
    <olap pivotCacheId="1498746060">
      <levels count="2">
        <level uniqueName="[CORSI_RECUPERO].[DOCENTE].[(All)]" sourceCaption="(All)" count="0"/>
        <level uniqueName="[CORSI_RECUPERO].[DOCENTE].[DOCENTE]" sourceCaption="DOCENTE" count="15">
          <ranges>
            <range startItem="0">
              <i n="[CORSI_RECUPERO].[DOCENTE].&amp;[Concetto Strano]" c="Concetto Strano"/>
              <i n="[CORSI_RECUPERO].[DOCENTE].&amp;[Emiliana Lasagna]" c="Emiliana Lasagna"/>
              <i n="[CORSI_RECUPERO].[DOCENTE].&amp;[Ennio Annio]" c="Ennio Annio"/>
              <i n="[CORSI_RECUPERO].[DOCENTE].&amp;[Feve Andrea]" c="Feve Andrea"/>
              <i n="[CORSI_RECUPERO].[DOCENTE].&amp;[Fove Anna]" c="Fove Anna"/>
              <i n="[CORSI_RECUPERO].[DOCENTE].&amp;[Franco Forte]" c="Franco Forte"/>
              <i n="[CORSI_RECUPERO].[DOCENTE].&amp;[Giulia Gorgini]" c="Giulia Gorgini"/>
              <i n="[CORSI_RECUPERO].[DOCENTE].&amp;[Lindo Ferretti]" c="Lindo Ferretti"/>
              <i n="[CORSI_RECUPERO].[DOCENTE].&amp;[Maccio Capatonda]" c="Maccio Capatonda"/>
              <i n="[CORSI_RECUPERO].[DOCENTE].&amp;[Manno Assunta]" c="Manno Assunta"/>
              <i n="[CORSI_RECUPERO].[DOCENTE].&amp;[Perla Madonna]" c="Perla Madonna"/>
              <i n="[CORSI_RECUPERO].[DOCENTE].&amp;[Pippo Longhi]" c="Pippo Longhi"/>
              <i n="[CORSI_RECUPERO].[DOCENTE].&amp;[Pluto Marini]" c="Pluto Marini"/>
              <i n="[CORSI_RECUPERO].[DOCENTE].&amp;[Rosa Fiocco]" c="Rosa Fiocco"/>
              <i n="[CORSI_RECUPERO].[DOCENTE].&amp;[Santa Pazienza]" c="Santa Pazienza"/>
            </range>
          </ranges>
        </level>
      </levels>
      <selections count="1">
        <selection n="[CORSI_RECUPERO].[DOCENT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3"/>
        <pivotTable tabId="4294967295" name="PivotChartTable2"/>
        <pivotTable tabId="4294967295" name="PivotChartTable1"/>
      </x15:slicerCachePivotTables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SEDE2" xr10:uid="{95D34B36-1569-4F82-AADB-FE17277D5B65}" sourceName="[CORSI_RECUPERO].[SEDE]">
  <pivotTables>
    <pivotTable tabId="7" name="Tabella pivot4"/>
    <pivotTable tabId="7" name="Tabella pivot3"/>
    <pivotTable tabId="7" name="Tabella pivot2"/>
    <pivotTable tabId="7" name="Tabella pivot1"/>
  </pivotTables>
  <data>
    <olap pivotCacheId="1498746060">
      <levels count="2">
        <level uniqueName="[CORSI_RECUPERO].[SEDE].[(All)]" sourceCaption="(All)" count="0"/>
        <level uniqueName="[CORSI_RECUPERO].[SEDE].[SEDE]" sourceCaption="SEDE" count="4">
          <ranges>
            <range startItem="0">
              <i n="[CORSI_RECUPERO].[SEDE].&amp;[Bari]" c="Bari"/>
              <i n="[CORSI_RECUPERO].[SEDE].&amp;[Bologna]" c="Bologna"/>
              <i n="[CORSI_RECUPERO].[SEDE].&amp;[Napoli]" c="Napoli"/>
              <i n="[CORSI_RECUPERO].[SEDE].&amp;[Online]" c="Online"/>
            </range>
          </ranges>
        </level>
      </levels>
      <selections count="1">
        <selection n="[CORSI_RECUPERO].[SED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3"/>
        <pivotTable tabId="4294967295" name="PivotChartTable2"/>
        <pivotTable tabId="4294967295" name="PivotChartTable1"/>
      </x15:slicerCachePivotTables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DURATA__H" xr10:uid="{4C6C55A4-5D6D-4A78-9C64-B40D21DFEB51}" sourceName="[CORSI_RECUPERO].[DURATA (H)]">
  <pivotTables>
    <pivotTable tabId="7" name="Tabella pivot1"/>
    <pivotTable tabId="7" name="Tabella pivot2"/>
    <pivotTable tabId="7" name="Tabella pivot3"/>
    <pivotTable tabId="7" name="Tabella pivot4"/>
  </pivotTables>
  <data>
    <olap pivotCacheId="1498746060">
      <levels count="2">
        <level uniqueName="[CORSI_RECUPERO].[DURATA (H)].[(All)]" sourceCaption="(All)" count="0"/>
        <level uniqueName="[CORSI_RECUPERO].[DURATA (H)].[DURATA (H)]" sourceCaption="DURATA (H)" count="4">
          <ranges>
            <range startItem="0">
              <i n="[CORSI_RECUPERO].[DURATA (H)].&amp;[30]" c="30"/>
              <i n="[CORSI_RECUPERO].[DURATA (H)].&amp;[40]" c="40"/>
              <i n="[CORSI_RECUPERO].[DURATA (H)].&amp;[50]" c="50"/>
              <i n="[CORSI_RECUPERO].[DURATA (H)].&amp;[60]" c="60"/>
            </range>
          </ranges>
        </level>
      </levels>
      <selections count="1">
        <selection n="[CORSI_RECUPERO].[DURATA (H)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3"/>
        <pivotTable tabId="4294967295" name="PivotChartTable2"/>
        <pivotTable tabId="4294967295" name="PivotChartTable1"/>
      </x15:slicerCachePivotTables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DATA_INIZIO" xr10:uid="{600F0803-340A-4BA3-B816-A5EBC29F7A24}" sourceName="[CORSI_RECUPERO].[DATA INIZIO]">
  <pivotTables>
    <pivotTable tabId="7" name="Tabella pivot1"/>
    <pivotTable tabId="7" name="Tabella pivot2"/>
    <pivotTable tabId="7" name="Tabella pivot3"/>
    <pivotTable tabId="7" name="Tabella pivot4"/>
  </pivotTables>
  <data>
    <olap pivotCacheId="1498746060">
      <levels count="2">
        <level uniqueName="[CORSI_RECUPERO].[DATA INIZIO].[(All)]" sourceCaption="(All)" count="0"/>
        <level uniqueName="[CORSI_RECUPERO].[DATA INIZIO].[DATA INIZIO]" sourceCaption="DATA INIZIO" count="6">
          <ranges>
            <range startItem="0">
              <i n="[CORSI_RECUPERO].[DATA INIZIO].&amp;[2023-07-03T00:00:00]" c="03/07/2023"/>
              <i n="[CORSI_RECUPERO].[DATA INIZIO].&amp;[2023-07-04T00:00:00]" c="04/07/2023"/>
              <i n="[CORSI_RECUPERO].[DATA INIZIO].&amp;[2023-07-05T00:00:00]" c="05/07/2023"/>
              <i n="[CORSI_RECUPERO].[DATA INIZIO].&amp;[2023-07-06T00:00:00]" c="06/07/2023"/>
              <i n="[CORSI_RECUPERO].[DATA INIZIO].&amp;[2023-07-07T00:00:00]" c="07/07/2023"/>
              <i n="[CORSI_RECUPERO].[DATA INIZIO].&amp;[2023-07-08T00:00:00]" c="08/07/2023"/>
            </range>
          </ranges>
        </level>
      </levels>
      <selections count="1">
        <selection n="[CORSI_RECUPERO].[DATA INIZIO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1"/>
        <pivotTable tabId="4294967295" name="PivotChartTable2"/>
        <pivotTable tabId="4294967295" name="PivotChartTable3"/>
      </x15:slicerCachePivotTables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MATERIA1" xr10:uid="{7CF29D28-F66A-4D66-B717-4B12D28E97DC}" sourceName="[DOCENTI].[MATERIA]">
  <pivotTables>
    <pivotTable tabId="7" name="Tabella pivot1"/>
    <pivotTable tabId="7" name="Tabella pivot2"/>
    <pivotTable tabId="7" name="Tabella pivot3"/>
    <pivotTable tabId="7" name="Tabella pivot4"/>
  </pivotTables>
  <data>
    <olap pivotCacheId="1498746060">
      <levels count="2">
        <level uniqueName="[DOCENTI].[MATERIA].[(All)]" sourceCaption="(All)" count="0"/>
        <level uniqueName="[DOCENTI].[MATERIA].[MATERIA]" sourceCaption="MATERIA" count="5">
          <ranges>
            <range startItem="0">
              <i n="[DOCENTI].[MATERIA].&amp;[FILOSOFIA]" c="FILOSOFIA"/>
              <i n="[DOCENTI].[MATERIA].&amp;[FISICA]" c="FISICA"/>
              <i n="[DOCENTI].[MATERIA].&amp;[LETTERATURA]" c="LETTERATURA"/>
              <i n="[DOCENTI].[MATERIA].&amp;[LINGUE]" c="LINGUE"/>
              <i n="[DOCENTI].[MATERIA].&amp;[MATEMATICA]" c="MATEMATICA"/>
            </range>
          </ranges>
        </level>
      </levels>
      <selections count="1">
        <selection n="[DOCENTI].[MATERIA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  <pivotTable tabId="4294967295" name="PivotChartTable1"/>
        <pivotTable tabId="4294967295" name="PivotChartTable3"/>
        <pivotTable tabId="4294967295" name="PivotChartTable4"/>
      </x15:slicerCachePivotTables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CENTE 1" xr10:uid="{AB97B539-D540-4D12-A473-E96CB7C08DC9}" cache="FiltroDati_DOCENTE1" caption="DOCENTE" level="1" rowHeight="241300"/>
  <slicer name="SEDE 1" xr10:uid="{3F04E525-BB6B-47E6-B448-810BB3DF1E22}" cache="FiltroDati_SEDE1" caption="SEDE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teria" xr10:uid="{0C62FFAD-86BB-40CE-A208-F369A67F4E20}" cache="FiltroDati_Materia" caption="Materia" level="1" style="SlicerStyleOther2" rowHeight="241300"/>
  <slicer name="DOCENTE" xr10:uid="{A12459D0-B20A-4E7F-971F-72D0597D9E6E}" cache="FiltroDati_DOCENTE2" caption="DOCENTE" columnCount="5" level="1" style="SlicerStyleOther2" rowHeight="241300"/>
  <slicer name="SEDE" xr10:uid="{DABEAA6D-425F-464D-8ADC-74E516242166}" cache="FiltroDati_SEDE2" caption="SEDE" level="1" style="SlicerStyleOther2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CENTE 2" xr10:uid="{191215E4-6FAB-4FE7-A215-A07DF705B4DE}" cache="FiltroDati_DOCENTE2" caption="DOCENTE" columnCount="5" level="1" rowHeight="241300"/>
  <slicer name="SEDE 2" xr10:uid="{C0428AC4-E24D-49AB-A650-6A296396A8E6}" cache="FiltroDati_SEDE2" caption="SEDE" columnCount="2" level="1" rowHeight="241300"/>
  <slicer name="DURATA (H)" xr10:uid="{248B9C1C-ECE4-4EDA-A093-074B963FEA4F}" cache="FiltroDati_DURATA__H" caption="DURATA (H)" columnCount="2" level="1" rowHeight="241300"/>
  <slicer name="DATA INIZIO" xr10:uid="{A6ACEE8F-EF3C-4A5E-BD4C-4DF3E06BC782}" cache="FiltroDati_DATA_INIZIO" caption="DATA INIZIO" columnCount="2" level="1" rowHeight="241300"/>
  <slicer name="MATERIA 1" xr10:uid="{5BB8312F-9317-4BB6-8B92-67F1DCBAD213}" cache="FiltroDati_MATERIA1" caption="MATERIA" columnCount="2" level="1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C274BF-7F94-433E-83FF-07FFCC0BB0F4}" name="CORSI_RECUPERO" displayName="CORSI_RECUPERO" ref="B1:I31" tableType="queryTable" totalsRowShown="0" headerRowDxfId="459" dataDxfId="458">
  <autoFilter ref="B1:I31" xr:uid="{3CC274BF-7F94-433E-83FF-07FFCC0BB0F4}"/>
  <tableColumns count="8">
    <tableColumn id="1" xr3:uid="{5A617834-6FD9-4F32-A5E3-A69A37E7D944}" uniqueName="1" name="TITOLO CORSO" queryTableFieldId="1" dataDxfId="457"/>
    <tableColumn id="8" xr3:uid="{04FE9F3E-8A69-480A-B937-49B8ADC83D83}" uniqueName="8" name="Materia" queryTableFieldId="8" dataDxfId="456"/>
    <tableColumn id="2" xr3:uid="{F0E2A303-BF76-43B4-8EAF-C7A04378F908}" uniqueName="2" name="DATA INIZIO" queryTableFieldId="2" dataDxfId="455"/>
    <tableColumn id="3" xr3:uid="{E8943208-567B-4573-9A16-5E417D690790}" uniqueName="3" name="DATA FINE" queryTableFieldId="3" dataDxfId="454"/>
    <tableColumn id="4" xr3:uid="{3B91E9EC-B65C-4886-9720-57A9F59283BE}" uniqueName="4" name="DURATA (H)" queryTableFieldId="4" dataDxfId="453"/>
    <tableColumn id="5" xr3:uid="{B01E6701-5BCF-47F1-9772-1AB78FBFB1D4}" uniqueName="5" name="PREZZO" queryTableFieldId="5" dataDxfId="452"/>
    <tableColumn id="6" xr3:uid="{BFC4505F-77D4-46D8-B407-6220863D70A2}" uniqueName="6" name="DOCENTE" queryTableFieldId="6" dataDxfId="451"/>
    <tableColumn id="7" xr3:uid="{D9D81341-86A0-4E7E-A740-B58B0FE4C2DE}" uniqueName="7" name="SEDE" queryTableFieldId="7" dataDxfId="450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4F64BC-9062-4A5A-B271-7F64295F673D}" name="DOCENTI" displayName="DOCENTI" ref="A1:D16" tableType="queryTable" totalsRowShown="0" headerRowDxfId="449" dataDxfId="448">
  <autoFilter ref="A1:D16" xr:uid="{204F64BC-9062-4A5A-B271-7F64295F673D}"/>
  <tableColumns count="4">
    <tableColumn id="1" xr3:uid="{A1831896-EF41-44DB-8656-A3A4A9CA173C}" uniqueName="1" name="NOME E COGNOME" queryTableFieldId="1" dataDxfId="447"/>
    <tableColumn id="2" xr3:uid="{1A4B3A63-089B-4EA1-AB5F-AFE54D2B8E97}" uniqueName="2" name="DATA DI NASCITA" queryTableFieldId="2" dataDxfId="446"/>
    <tableColumn id="3" xr3:uid="{C7283D96-EF10-4098-9613-73AA1BACE506}" uniqueName="3" name="CITTA' RESIDENZA" queryTableFieldId="3" dataDxfId="445"/>
    <tableColumn id="4" xr3:uid="{0A41FA0E-D180-463B-BE4C-095BB5F4359A}" uniqueName="4" name="MATERIA" queryTableFieldId="4" dataDxfId="44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AB1570-EC0F-443D-BDA8-FBEEAFB7408D}" name="SEDI" displayName="SEDI" ref="A1:C5" tableType="queryTable" totalsRowShown="0" headerRowDxfId="443" dataDxfId="442">
  <autoFilter ref="A1:C5" xr:uid="{19AB1570-EC0F-443D-BDA8-FBEEAFB7408D}"/>
  <tableColumns count="3">
    <tableColumn id="1" xr3:uid="{C80D2A49-716D-4576-9251-321DED2EECE4}" uniqueName="1" name="SEDE" queryTableFieldId="1" dataDxfId="441"/>
    <tableColumn id="2" xr3:uid="{C66BC7CB-5831-4A59-8477-C99EE3708FB0}" uniqueName="2" name="INDIRIZZO" queryTableFieldId="2" dataDxfId="440"/>
    <tableColumn id="3" xr3:uid="{C0F336EF-63C3-4A78-AD29-01F5F200CF47}" uniqueName="3" name="CAPIENZA AULA" queryTableFieldId="3" dataDxfId="439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microsoft.com/office/2007/relationships/slicer" Target="../slicers/slicer2.xml"/><Relationship Id="rId5" Type="http://schemas.openxmlformats.org/officeDocument/2006/relationships/drawing" Target="../drawings/drawing5.xml"/><Relationship Id="rId4" Type="http://schemas.openxmlformats.org/officeDocument/2006/relationships/pivotTable" Target="../pivotTables/pivotTable10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60AEA-4E6C-4489-A5DF-27E2C881B61D}">
  <sheetPr>
    <tabColor theme="4" tint="-0.499984740745262"/>
  </sheetPr>
  <dimension ref="Y36:AC36"/>
  <sheetViews>
    <sheetView tabSelected="1" workbookViewId="0"/>
  </sheetViews>
  <sheetFormatPr defaultRowHeight="15" x14ac:dyDescent="0.25"/>
  <cols>
    <col min="1" max="16384" width="9.140625" style="61"/>
  </cols>
  <sheetData>
    <row r="36" spans="25:29" ht="15.75" x14ac:dyDescent="0.25">
      <c r="Y36" s="71" t="s">
        <v>109</v>
      </c>
      <c r="Z36" s="71"/>
      <c r="AA36" s="71"/>
      <c r="AB36" s="71"/>
      <c r="AC36" s="71"/>
    </row>
  </sheetData>
  <mergeCells count="1">
    <mergeCell ref="Y36:AC3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82B16-2D82-4C83-8249-0599409CB8AF}">
  <sheetPr codeName="Foglio1">
    <tabColor theme="8" tint="0.39997558519241921"/>
  </sheetPr>
  <dimension ref="L8:X34"/>
  <sheetViews>
    <sheetView showGridLines="0" workbookViewId="0">
      <selection activeCell="M12" sqref="M12"/>
    </sheetView>
  </sheetViews>
  <sheetFormatPr defaultRowHeight="15" x14ac:dyDescent="0.2"/>
  <cols>
    <col min="1" max="2" width="9.140625" style="11"/>
    <col min="3" max="4" width="0" style="11" hidden="1" customWidth="1"/>
    <col min="5" max="10" width="9.140625" style="11"/>
    <col min="11" max="11" width="3.42578125" style="11" customWidth="1"/>
    <col min="12" max="12" width="3.85546875" style="11" customWidth="1"/>
    <col min="13" max="13" width="22.42578125" style="11" customWidth="1"/>
    <col min="14" max="14" width="15.28515625" style="11" customWidth="1"/>
    <col min="15" max="15" width="18.85546875" style="11" customWidth="1"/>
    <col min="16" max="16" width="16" style="11" customWidth="1"/>
    <col min="17" max="17" width="11.7109375" style="11" bestFit="1" customWidth="1"/>
    <col min="18" max="18" width="11.42578125" style="11" bestFit="1" customWidth="1"/>
    <col min="19" max="19" width="14" style="11" customWidth="1"/>
    <col min="20" max="20" width="12.5703125" style="11" customWidth="1"/>
    <col min="21" max="21" width="10.7109375" style="11" bestFit="1" customWidth="1"/>
    <col min="22" max="22" width="9.140625" style="11"/>
    <col min="23" max="23" width="9.85546875" style="11" bestFit="1" customWidth="1"/>
    <col min="24" max="26" width="9.140625" style="11"/>
    <col min="27" max="27" width="9.42578125" style="11" bestFit="1" customWidth="1"/>
    <col min="28" max="16384" width="9.140625" style="11"/>
  </cols>
  <sheetData>
    <row r="8" spans="12:24" x14ac:dyDescent="0.2">
      <c r="L8" s="8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10"/>
    </row>
    <row r="9" spans="12:24" ht="18" x14ac:dyDescent="0.25">
      <c r="L9" s="12"/>
      <c r="M9" s="62" t="s">
        <v>78</v>
      </c>
      <c r="N9" s="1"/>
      <c r="O9" s="1"/>
      <c r="P9" s="1"/>
      <c r="Q9" s="1"/>
      <c r="R9" s="1"/>
      <c r="S9" s="1"/>
      <c r="T9" s="1"/>
      <c r="U9" s="1"/>
      <c r="V9" s="1"/>
      <c r="W9" s="1"/>
      <c r="X9" s="13"/>
    </row>
    <row r="10" spans="12:24" x14ac:dyDescent="0.2">
      <c r="L10" s="12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3"/>
    </row>
    <row r="11" spans="12:24" x14ac:dyDescent="0.2">
      <c r="L11" s="12"/>
      <c r="M11" s="1" t="s">
        <v>79</v>
      </c>
      <c r="N11" s="1" t="s">
        <v>86</v>
      </c>
      <c r="O11" s="1" t="s">
        <v>80</v>
      </c>
      <c r="P11" s="1" t="s">
        <v>81</v>
      </c>
      <c r="Q11" s="1" t="s">
        <v>82</v>
      </c>
      <c r="R11" s="1" t="s">
        <v>83</v>
      </c>
      <c r="S11" s="1" t="s">
        <v>84</v>
      </c>
      <c r="T11" s="1" t="s">
        <v>85</v>
      </c>
      <c r="U11" s="1"/>
      <c r="V11" s="1"/>
      <c r="W11" s="1"/>
      <c r="X11" s="13"/>
    </row>
    <row r="12" spans="12:24" x14ac:dyDescent="0.2">
      <c r="L12" s="12"/>
      <c r="M12" s="14"/>
      <c r="N12" s="14"/>
      <c r="O12" s="15"/>
      <c r="P12" s="15"/>
      <c r="Q12" s="14"/>
      <c r="R12" s="16"/>
      <c r="S12" s="14"/>
      <c r="T12" s="14"/>
      <c r="U12" s="1"/>
      <c r="V12" s="1"/>
      <c r="W12" s="1"/>
      <c r="X12" s="13"/>
    </row>
    <row r="13" spans="12:24" x14ac:dyDescent="0.2">
      <c r="L13" s="17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9"/>
    </row>
    <row r="15" spans="12:24" x14ac:dyDescent="0.2">
      <c r="L15" s="20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10"/>
    </row>
    <row r="16" spans="12:24" ht="18" x14ac:dyDescent="0.25">
      <c r="L16" s="21"/>
      <c r="M16" s="62" t="s">
        <v>84</v>
      </c>
      <c r="N16" s="1"/>
      <c r="O16" s="1"/>
      <c r="P16" s="1"/>
      <c r="Q16" s="1"/>
      <c r="R16" s="1"/>
      <c r="S16" s="1"/>
      <c r="T16" s="1"/>
      <c r="U16" s="1"/>
      <c r="V16" s="1"/>
      <c r="W16" s="1"/>
      <c r="X16" s="13"/>
    </row>
    <row r="17" spans="12:24" x14ac:dyDescent="0.2">
      <c r="L17" s="2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3"/>
    </row>
    <row r="18" spans="12:24" x14ac:dyDescent="0.2">
      <c r="L18" s="21"/>
      <c r="M18" s="59" t="s">
        <v>91</v>
      </c>
      <c r="N18" s="1" t="s">
        <v>92</v>
      </c>
      <c r="O18" s="1" t="s">
        <v>93</v>
      </c>
      <c r="P18" s="1" t="s">
        <v>86</v>
      </c>
      <c r="Q18" s="1"/>
      <c r="R18" s="1"/>
      <c r="S18" s="1"/>
      <c r="T18" s="1"/>
      <c r="U18" s="1"/>
      <c r="V18" s="1"/>
      <c r="W18" s="1"/>
      <c r="X18" s="13"/>
    </row>
    <row r="19" spans="12:24" x14ac:dyDescent="0.2">
      <c r="L19" s="21"/>
      <c r="M19" s="14"/>
      <c r="N19" s="15"/>
      <c r="O19" s="14"/>
      <c r="P19" s="14"/>
      <c r="Q19" s="1"/>
      <c r="R19" s="1"/>
      <c r="S19" s="1"/>
      <c r="T19" s="1"/>
      <c r="U19" s="1"/>
      <c r="V19" s="1"/>
      <c r="W19" s="1"/>
      <c r="X19" s="13"/>
    </row>
    <row r="20" spans="12:24" x14ac:dyDescent="0.2">
      <c r="L20" s="22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9"/>
    </row>
    <row r="22" spans="12:24" x14ac:dyDescent="0.2">
      <c r="L22" s="23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10"/>
    </row>
    <row r="23" spans="12:24" ht="18" x14ac:dyDescent="0.25">
      <c r="L23" s="24"/>
      <c r="M23" s="62" t="s">
        <v>85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3"/>
    </row>
    <row r="24" spans="12:24" x14ac:dyDescent="0.2">
      <c r="L24" s="24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3"/>
    </row>
    <row r="25" spans="12:24" x14ac:dyDescent="0.2">
      <c r="L25" s="24"/>
      <c r="M25" s="1" t="s">
        <v>85</v>
      </c>
      <c r="N25" s="1" t="s">
        <v>94</v>
      </c>
      <c r="O25" s="1" t="s">
        <v>95</v>
      </c>
      <c r="P25" s="1"/>
      <c r="Q25" s="1"/>
      <c r="R25" s="1"/>
      <c r="S25" s="1"/>
      <c r="T25" s="1"/>
      <c r="U25" s="1"/>
      <c r="V25" s="1"/>
      <c r="W25" s="1"/>
      <c r="X25" s="13"/>
    </row>
    <row r="26" spans="12:24" x14ac:dyDescent="0.2">
      <c r="L26" s="24"/>
      <c r="M26" s="14"/>
      <c r="N26" s="14"/>
      <c r="O26" s="14"/>
      <c r="P26" s="1"/>
      <c r="Q26" s="1"/>
      <c r="R26" s="1"/>
      <c r="S26" s="1"/>
      <c r="T26" s="1"/>
      <c r="U26" s="1"/>
      <c r="V26" s="1"/>
      <c r="W26" s="1"/>
      <c r="X26" s="13"/>
    </row>
    <row r="27" spans="12:24" x14ac:dyDescent="0.2">
      <c r="L27" s="25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9"/>
    </row>
    <row r="29" spans="12:24" x14ac:dyDescent="0.2">
      <c r="L29" s="26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10"/>
    </row>
    <row r="30" spans="12:24" ht="18" x14ac:dyDescent="0.25">
      <c r="L30" s="27"/>
      <c r="M30" s="62" t="s">
        <v>86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3"/>
    </row>
    <row r="31" spans="12:24" x14ac:dyDescent="0.2">
      <c r="L31" s="27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3"/>
    </row>
    <row r="32" spans="12:24" x14ac:dyDescent="0.2">
      <c r="L32" s="27"/>
      <c r="M32" s="14"/>
      <c r="N32" s="1"/>
      <c r="O32" s="1"/>
      <c r="P32" s="1"/>
      <c r="Q32" s="1"/>
      <c r="R32" s="1"/>
      <c r="S32" s="1"/>
      <c r="T32" s="1"/>
      <c r="U32" s="1"/>
      <c r="V32" s="1"/>
      <c r="W32" s="1"/>
      <c r="X32" s="13"/>
    </row>
    <row r="33" spans="12:24" x14ac:dyDescent="0.2">
      <c r="L33" s="27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3"/>
    </row>
    <row r="34" spans="12:24" x14ac:dyDescent="0.2">
      <c r="L34" s="2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9"/>
    </row>
  </sheetData>
  <dataValidations count="4">
    <dataValidation type="date" operator="greaterThan" allowBlank="1" showInputMessage="1" showErrorMessage="1" sqref="O12" xr:uid="{E8B53B22-759C-4B79-B3AD-91B196BB18B0}">
      <formula1>44927</formula1>
    </dataValidation>
    <dataValidation type="whole" operator="greaterThan" allowBlank="1" showInputMessage="1" showErrorMessage="1" sqref="Q12 R12 O26" xr:uid="{1EB89FFE-66F3-4AE8-B6F9-0DC19B8BACE4}">
      <formula1>0</formula1>
    </dataValidation>
    <dataValidation type="date" operator="greaterThanOrEqual" allowBlank="1" showInputMessage="1" showErrorMessage="1" sqref="P12" xr:uid="{FBB163AE-439D-47C6-9323-26611A239E82}">
      <formula1>O12</formula1>
    </dataValidation>
    <dataValidation type="date" operator="greaterThan" allowBlank="1" showInputMessage="1" showErrorMessage="1" sqref="N19" xr:uid="{8475ABA2-CFB3-4A64-B871-0543FA72D7DC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Ins_corso">
                <anchor moveWithCells="1" sizeWithCells="1">
                  <from>
                    <xdr:col>21</xdr:col>
                    <xdr:colOff>28575</xdr:colOff>
                    <xdr:row>7</xdr:row>
                    <xdr:rowOff>9525</xdr:rowOff>
                  </from>
                  <to>
                    <xdr:col>24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Ins_doc">
                <anchor moveWithCells="1" sizeWithCells="1">
                  <from>
                    <xdr:col>21</xdr:col>
                    <xdr:colOff>47625</xdr:colOff>
                    <xdr:row>14</xdr:row>
                    <xdr:rowOff>0</xdr:rowOff>
                  </from>
                  <to>
                    <xdr:col>24</xdr:col>
                    <xdr:colOff>28575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Ins_Sede">
                <anchor moveWithCells="1" sizeWithCells="1">
                  <from>
                    <xdr:col>21</xdr:col>
                    <xdr:colOff>57150</xdr:colOff>
                    <xdr:row>21</xdr:row>
                    <xdr:rowOff>9525</xdr:rowOff>
                  </from>
                  <to>
                    <xdr:col>24</xdr:col>
                    <xdr:colOff>38100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7" name="Button 8">
              <controlPr defaultSize="0" print="0" autoFill="0" autoPict="0" macro="[0]!Ins_Materia">
                <anchor moveWithCells="1" sizeWithCells="1">
                  <from>
                    <xdr:col>21</xdr:col>
                    <xdr:colOff>66675</xdr:colOff>
                    <xdr:row>28</xdr:row>
                    <xdr:rowOff>9525</xdr:rowOff>
                  </from>
                  <to>
                    <xdr:col>24</xdr:col>
                    <xdr:colOff>47625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8" name="Button 10">
              <controlPr defaultSize="0" print="0" autoFill="0" autoPict="0" macro="[0]!Ins_corso">
                <anchor moveWithCells="1" sizeWithCells="1">
                  <from>
                    <xdr:col>21</xdr:col>
                    <xdr:colOff>38100</xdr:colOff>
                    <xdr:row>6</xdr:row>
                    <xdr:rowOff>200025</xdr:rowOff>
                  </from>
                  <to>
                    <xdr:col>24</xdr:col>
                    <xdr:colOff>19050</xdr:colOff>
                    <xdr:row>12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5FCFBC8-9235-4BE1-A06B-5C815033231E}">
          <x14:formula1>
            <xm:f>SEDI!$A$1:$A$5</xm:f>
          </x14:formula1>
          <xm:sqref>T12</xm:sqref>
        </x14:dataValidation>
        <x14:dataValidation type="list" allowBlank="1" showInputMessage="1" showErrorMessage="1" xr:uid="{D81AD3EB-9CEE-45EE-B88A-CCF645314317}">
          <x14:formula1>
            <xm:f>DOCENTI!$A$1:$A$16</xm:f>
          </x14:formula1>
          <xm:sqref>S12</xm:sqref>
        </x14:dataValidation>
        <x14:dataValidation type="list" allowBlank="1" showInputMessage="1" showErrorMessage="1" xr:uid="{ED4C5924-2804-49BA-8BA6-6BAEF9B2ABDB}">
          <x14:formula1>
            <xm:f>MATERIE!$A$1:$A$6</xm:f>
          </x14:formula1>
          <xm:sqref>P19 N12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ACBDA-8959-47B2-A696-3099D5F2D837}">
  <sheetPr codeName="Foglio2">
    <tabColor theme="8"/>
  </sheetPr>
  <dimension ref="G11:M17"/>
  <sheetViews>
    <sheetView zoomScaleNormal="100" workbookViewId="0">
      <selection activeCell="M11" sqref="M11"/>
    </sheetView>
  </sheetViews>
  <sheetFormatPr defaultRowHeight="27" x14ac:dyDescent="0.25"/>
  <cols>
    <col min="1" max="6" width="9.140625" style="39"/>
    <col min="7" max="7" width="31.42578125" style="39" bestFit="1" customWidth="1"/>
    <col min="8" max="8" width="31.7109375" style="39" customWidth="1"/>
    <col min="9" max="11" width="9.140625" style="39"/>
    <col min="12" max="12" width="30.7109375" style="39" customWidth="1"/>
    <col min="13" max="13" width="30.42578125" style="39" customWidth="1"/>
    <col min="14" max="16384" width="9.140625" style="39"/>
  </cols>
  <sheetData>
    <row r="11" spans="7:13" ht="27.75" x14ac:dyDescent="0.25">
      <c r="G11" s="40" t="s">
        <v>84</v>
      </c>
      <c r="H11" s="41" t="s">
        <v>52</v>
      </c>
      <c r="L11" s="42" t="s">
        <v>79</v>
      </c>
      <c r="M11" s="43" t="s">
        <v>18</v>
      </c>
    </row>
    <row r="12" spans="7:13" ht="27.75" x14ac:dyDescent="0.25">
      <c r="G12" s="44"/>
      <c r="H12" s="45"/>
      <c r="L12" s="46" t="s">
        <v>84</v>
      </c>
      <c r="M12" s="47" t="str">
        <f>_xlfn.XLOOKUP(M11,CORSI_RECUPERO[TITOLO CORSO],CORSI_RECUPERO[DOCENTE])</f>
        <v>Manno Assunta</v>
      </c>
    </row>
    <row r="13" spans="7:13" ht="27.75" x14ac:dyDescent="0.25">
      <c r="G13" s="48" t="s">
        <v>97</v>
      </c>
      <c r="H13" s="49">
        <f>_xlfn.XLOOKUP(H11,DOCENTI[NOME E COGNOME],DOCENTI[DATA DI NASCITA])</f>
        <v>23463</v>
      </c>
      <c r="L13" s="50"/>
      <c r="M13" s="45"/>
    </row>
    <row r="14" spans="7:13" ht="27.75" x14ac:dyDescent="0.25">
      <c r="G14" s="51" t="s">
        <v>98</v>
      </c>
      <c r="H14" s="52" t="str">
        <f>_xlfn.XLOOKUP(H11,DOCENTI[NOME E COGNOME],DOCENTI[CITTA'' RESIDENZA])</f>
        <v>Modugno</v>
      </c>
      <c r="L14" s="53" t="s">
        <v>85</v>
      </c>
      <c r="M14" s="54" t="str">
        <f>_xlfn.XLOOKUP(M11,CORSI_RECUPERO[TITOLO CORSO],CORSI_RECUPERO[SEDE])</f>
        <v>Online</v>
      </c>
    </row>
    <row r="15" spans="7:13" ht="27.75" x14ac:dyDescent="0.25">
      <c r="G15" s="44"/>
      <c r="H15" s="45"/>
      <c r="L15" s="55" t="s">
        <v>99</v>
      </c>
      <c r="M15" s="56">
        <f>_xlfn.XLOOKUP(M11,CORSI_RECUPERO[TITOLO CORSO],CORSI_RECUPERO[DURATA (H)])</f>
        <v>30</v>
      </c>
    </row>
    <row r="16" spans="7:13" ht="27.75" x14ac:dyDescent="0.25">
      <c r="G16" s="48" t="s">
        <v>78</v>
      </c>
      <c r="H16" s="57" t="str">
        <f>_xlfn.XLOOKUP(H11,CORSI_RECUPERO[DOCENTE],CORSI_RECUPERO[Materia])</f>
        <v>LINGUE</v>
      </c>
      <c r="L16" s="44"/>
      <c r="M16" s="45"/>
    </row>
    <row r="17" spans="7:13" ht="27.75" x14ac:dyDescent="0.25">
      <c r="G17" s="51" t="s">
        <v>85</v>
      </c>
      <c r="H17" s="52" t="str">
        <f>_xlfn.XLOOKUP(H11,CORSI_RECUPERO[DOCENTE],CORSI_RECUPERO[SEDE])</f>
        <v>Bari</v>
      </c>
      <c r="L17" s="46" t="s">
        <v>100</v>
      </c>
      <c r="M17" s="58">
        <f>_xlfn.XLOOKUP(M11,CORSI_RECUPERO[TITOLO CORSO],CORSI_RECUPERO[PREZZO])</f>
        <v>120</v>
      </c>
    </row>
  </sheetData>
  <sheetProtection sheet="1" objects="1" scenarios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BF32F0D-DAA0-478A-B8CD-B810FFC39544}">
          <x14:formula1>
            <xm:f>DOCENTI!$A$1:$A$16</xm:f>
          </x14:formula1>
          <xm:sqref>T21</xm:sqref>
        </x14:dataValidation>
        <x14:dataValidation type="list" errorStyle="warning" allowBlank="1" showInputMessage="1" showErrorMessage="1" errorTitle="ATTENZIONE!" error="DOCENTE NON PRESENTE" prompt="INSERISCI QUI IL DOCENTE" xr:uid="{4634D634-902D-4BF6-AD89-CC496D717B28}">
          <x14:formula1>
            <xm:f>DOCENTI!$A$1:$A$16</xm:f>
          </x14:formula1>
          <xm:sqref>H11</xm:sqref>
        </x14:dataValidation>
        <x14:dataValidation type="list" errorStyle="warning" allowBlank="1" showInputMessage="1" showErrorMessage="1" errorTitle="ATTENZIONE!" error="CORSO NON PRESENTE" prompt="INSERISCI QUI IL CORSO" xr:uid="{DF0707D2-7F67-4296-9073-F657A17AD31B}">
          <x14:formula1>
            <xm:f>PRINCIPALE!$B$1:$B$31</xm:f>
          </x14:formula1>
          <xm:sqref>M11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DC658-E5DC-41D3-8AAD-28955B99E63C}">
  <sheetPr codeName="Foglio3">
    <tabColor theme="4" tint="-0.249977111117893"/>
  </sheetPr>
  <dimension ref="V3:Y38"/>
  <sheetViews>
    <sheetView showGridLines="0" zoomScale="90" zoomScaleNormal="90" workbookViewId="0">
      <selection activeCell="Z12" sqref="Z12"/>
    </sheetView>
  </sheetViews>
  <sheetFormatPr defaultRowHeight="14.25" x14ac:dyDescent="0.2"/>
  <cols>
    <col min="1" max="13" width="9.140625" style="63"/>
    <col min="14" max="14" width="5.7109375" style="63" bestFit="1" customWidth="1"/>
    <col min="15" max="19" width="9.140625" style="63"/>
    <col min="20" max="20" width="23.7109375" style="63" bestFit="1" customWidth="1"/>
    <col min="21" max="21" width="9.140625" style="63"/>
    <col min="22" max="22" width="24" style="63" bestFit="1" customWidth="1"/>
    <col min="23" max="23" width="12.7109375" style="63" bestFit="1" customWidth="1"/>
    <col min="24" max="24" width="13.42578125" style="63" bestFit="1" customWidth="1"/>
    <col min="25" max="16384" width="9.140625" style="63"/>
  </cols>
  <sheetData>
    <row r="3" spans="22:25" x14ac:dyDescent="0.2">
      <c r="V3" s="29" t="s">
        <v>101</v>
      </c>
      <c r="W3" s="7" t="s">
        <v>4</v>
      </c>
      <c r="X3" s="7" t="s">
        <v>3</v>
      </c>
    </row>
    <row r="4" spans="22:25" x14ac:dyDescent="0.2">
      <c r="V4" s="64" t="s">
        <v>15</v>
      </c>
      <c r="W4" s="65"/>
      <c r="X4" s="75"/>
      <c r="Y4" s="74"/>
    </row>
    <row r="5" spans="22:25" x14ac:dyDescent="0.2">
      <c r="V5" s="31" t="s">
        <v>33</v>
      </c>
      <c r="W5" s="32">
        <v>360</v>
      </c>
      <c r="X5" s="73">
        <v>60</v>
      </c>
    </row>
    <row r="6" spans="22:25" x14ac:dyDescent="0.2">
      <c r="V6" s="31" t="s">
        <v>36</v>
      </c>
      <c r="W6" s="32">
        <v>275</v>
      </c>
      <c r="X6" s="73">
        <v>50</v>
      </c>
    </row>
    <row r="7" spans="22:25" x14ac:dyDescent="0.2">
      <c r="V7" s="31" t="s">
        <v>51</v>
      </c>
      <c r="W7" s="32">
        <v>200</v>
      </c>
      <c r="X7" s="73">
        <v>40</v>
      </c>
    </row>
    <row r="8" spans="22:25" x14ac:dyDescent="0.2">
      <c r="V8" s="31" t="s">
        <v>13</v>
      </c>
      <c r="W8" s="32">
        <v>200</v>
      </c>
      <c r="X8" s="73">
        <v>40</v>
      </c>
    </row>
    <row r="9" spans="22:25" x14ac:dyDescent="0.2">
      <c r="V9" s="31" t="s">
        <v>42</v>
      </c>
      <c r="W9" s="32">
        <v>360</v>
      </c>
      <c r="X9" s="73">
        <v>60</v>
      </c>
    </row>
    <row r="10" spans="22:25" x14ac:dyDescent="0.2">
      <c r="V10" s="31" t="s">
        <v>45</v>
      </c>
      <c r="W10" s="32">
        <v>275</v>
      </c>
      <c r="X10" s="73">
        <v>50</v>
      </c>
    </row>
    <row r="11" spans="22:25" x14ac:dyDescent="0.2">
      <c r="V11" s="31" t="s">
        <v>24</v>
      </c>
      <c r="W11" s="32">
        <v>360</v>
      </c>
      <c r="X11" s="73">
        <v>60</v>
      </c>
    </row>
    <row r="12" spans="22:25" x14ac:dyDescent="0.2">
      <c r="V12" s="31" t="s">
        <v>27</v>
      </c>
      <c r="W12" s="32">
        <v>275</v>
      </c>
      <c r="X12" s="73">
        <v>50</v>
      </c>
    </row>
    <row r="13" spans="22:25" x14ac:dyDescent="0.2">
      <c r="V13" s="64" t="s">
        <v>9</v>
      </c>
      <c r="W13" s="65"/>
      <c r="X13" s="75"/>
    </row>
    <row r="14" spans="22:25" x14ac:dyDescent="0.2">
      <c r="V14" s="31" t="s">
        <v>29</v>
      </c>
      <c r="W14" s="32">
        <v>360</v>
      </c>
      <c r="X14" s="73">
        <v>60</v>
      </c>
    </row>
    <row r="15" spans="22:25" x14ac:dyDescent="0.2">
      <c r="V15" s="31" t="s">
        <v>47</v>
      </c>
      <c r="W15" s="32">
        <v>200</v>
      </c>
      <c r="X15" s="73">
        <v>40</v>
      </c>
    </row>
    <row r="16" spans="22:25" x14ac:dyDescent="0.2">
      <c r="V16" s="31" t="s">
        <v>53</v>
      </c>
      <c r="W16" s="32">
        <v>120</v>
      </c>
      <c r="X16" s="73">
        <v>30</v>
      </c>
    </row>
    <row r="17" spans="22:24" x14ac:dyDescent="0.2">
      <c r="V17" s="31" t="s">
        <v>7</v>
      </c>
      <c r="W17" s="32">
        <v>200</v>
      </c>
      <c r="X17" s="73">
        <v>40</v>
      </c>
    </row>
    <row r="18" spans="22:24" x14ac:dyDescent="0.2">
      <c r="V18" s="31" t="s">
        <v>16</v>
      </c>
      <c r="W18" s="32">
        <v>120</v>
      </c>
      <c r="X18" s="73">
        <v>30</v>
      </c>
    </row>
    <row r="19" spans="22:24" x14ac:dyDescent="0.2">
      <c r="V19" s="31" t="s">
        <v>46</v>
      </c>
      <c r="W19" s="32">
        <v>275</v>
      </c>
      <c r="X19" s="73">
        <v>50</v>
      </c>
    </row>
    <row r="20" spans="22:24" x14ac:dyDescent="0.2">
      <c r="V20" s="31" t="s">
        <v>20</v>
      </c>
      <c r="W20" s="32">
        <v>360</v>
      </c>
      <c r="X20" s="73">
        <v>60</v>
      </c>
    </row>
    <row r="21" spans="22:24" x14ac:dyDescent="0.2">
      <c r="V21" s="31" t="s">
        <v>26</v>
      </c>
      <c r="W21" s="32">
        <v>275</v>
      </c>
      <c r="X21" s="73">
        <v>50</v>
      </c>
    </row>
    <row r="22" spans="22:24" x14ac:dyDescent="0.2">
      <c r="V22" s="64" t="s">
        <v>12</v>
      </c>
      <c r="W22" s="65"/>
      <c r="X22" s="75"/>
    </row>
    <row r="23" spans="22:24" x14ac:dyDescent="0.2">
      <c r="V23" s="31" t="s">
        <v>31</v>
      </c>
      <c r="W23" s="32">
        <v>360</v>
      </c>
      <c r="X23" s="73">
        <v>60</v>
      </c>
    </row>
    <row r="24" spans="22:24" x14ac:dyDescent="0.2">
      <c r="V24" s="31" t="s">
        <v>35</v>
      </c>
      <c r="W24" s="32">
        <v>275</v>
      </c>
      <c r="X24" s="73">
        <v>50</v>
      </c>
    </row>
    <row r="25" spans="22:24" x14ac:dyDescent="0.2">
      <c r="V25" s="31" t="s">
        <v>49</v>
      </c>
      <c r="W25" s="32">
        <v>200</v>
      </c>
      <c r="X25" s="73">
        <v>40</v>
      </c>
    </row>
    <row r="26" spans="22:24" x14ac:dyDescent="0.2">
      <c r="V26" s="31" t="s">
        <v>54</v>
      </c>
      <c r="W26" s="32">
        <v>120</v>
      </c>
      <c r="X26" s="73">
        <v>30</v>
      </c>
    </row>
    <row r="27" spans="22:24" x14ac:dyDescent="0.2">
      <c r="V27" s="31" t="s">
        <v>10</v>
      </c>
      <c r="W27" s="32">
        <v>200</v>
      </c>
      <c r="X27" s="73">
        <v>40</v>
      </c>
    </row>
    <row r="28" spans="22:24" x14ac:dyDescent="0.2">
      <c r="V28" s="31" t="s">
        <v>17</v>
      </c>
      <c r="W28" s="32">
        <v>120</v>
      </c>
      <c r="X28" s="73">
        <v>30</v>
      </c>
    </row>
    <row r="29" spans="22:24" x14ac:dyDescent="0.2">
      <c r="V29" s="31" t="s">
        <v>40</v>
      </c>
      <c r="W29" s="32">
        <v>360</v>
      </c>
      <c r="X29" s="73">
        <v>60</v>
      </c>
    </row>
    <row r="30" spans="22:24" x14ac:dyDescent="0.2">
      <c r="V30" s="31" t="s">
        <v>44</v>
      </c>
      <c r="W30" s="32">
        <v>275</v>
      </c>
      <c r="X30" s="73">
        <v>50</v>
      </c>
    </row>
    <row r="31" spans="22:24" x14ac:dyDescent="0.2">
      <c r="V31" s="31" t="s">
        <v>22</v>
      </c>
      <c r="W31" s="32">
        <v>360</v>
      </c>
      <c r="X31" s="73">
        <v>60</v>
      </c>
    </row>
    <row r="32" spans="22:24" x14ac:dyDescent="0.2">
      <c r="V32" s="64" t="s">
        <v>19</v>
      </c>
      <c r="W32" s="65"/>
      <c r="X32" s="75"/>
    </row>
    <row r="33" spans="22:24" x14ac:dyDescent="0.2">
      <c r="V33" s="31" t="s">
        <v>37</v>
      </c>
      <c r="W33" s="32">
        <v>275</v>
      </c>
      <c r="X33" s="73">
        <v>50</v>
      </c>
    </row>
    <row r="34" spans="22:24" x14ac:dyDescent="0.2">
      <c r="V34" s="31" t="s">
        <v>55</v>
      </c>
      <c r="W34" s="32">
        <v>120</v>
      </c>
      <c r="X34" s="73">
        <v>30</v>
      </c>
    </row>
    <row r="35" spans="22:24" x14ac:dyDescent="0.2">
      <c r="V35" s="31" t="s">
        <v>18</v>
      </c>
      <c r="W35" s="32">
        <v>120</v>
      </c>
      <c r="X35" s="73">
        <v>30</v>
      </c>
    </row>
    <row r="36" spans="22:24" x14ac:dyDescent="0.2">
      <c r="V36" s="31" t="s">
        <v>38</v>
      </c>
      <c r="W36" s="32">
        <v>360</v>
      </c>
      <c r="X36" s="73">
        <v>60</v>
      </c>
    </row>
    <row r="37" spans="22:24" x14ac:dyDescent="0.2">
      <c r="V37" s="31" t="s">
        <v>28</v>
      </c>
      <c r="W37" s="32">
        <v>275</v>
      </c>
      <c r="X37" s="73">
        <v>50</v>
      </c>
    </row>
    <row r="38" spans="22:24" x14ac:dyDescent="0.2">
      <c r="V38" s="30" t="s">
        <v>96</v>
      </c>
      <c r="W38" s="32">
        <v>7635</v>
      </c>
      <c r="X38" s="73">
        <v>1410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07BA5-0EFF-472E-9F6E-746896D5E28B}">
  <sheetPr codeName="Foglio5">
    <tabColor theme="8" tint="-0.249977111117893"/>
  </sheetPr>
  <dimension ref="I6:Q47"/>
  <sheetViews>
    <sheetView showGridLines="0" zoomScale="89" zoomScaleNormal="89" workbookViewId="0">
      <selection activeCell="T32" sqref="T32"/>
    </sheetView>
  </sheetViews>
  <sheetFormatPr defaultRowHeight="14.25" x14ac:dyDescent="0.2"/>
  <cols>
    <col min="1" max="8" width="9.140625" style="63"/>
    <col min="9" max="9" width="21" style="63" bestFit="1" customWidth="1"/>
    <col min="10" max="10" width="17.7109375" style="63" bestFit="1" customWidth="1"/>
    <col min="11" max="11" width="15.85546875" style="63" bestFit="1" customWidth="1"/>
    <col min="12" max="12" width="9.140625" style="63"/>
    <col min="13" max="13" width="21" style="63" bestFit="1" customWidth="1"/>
    <col min="14" max="14" width="18.7109375" style="63" bestFit="1" customWidth="1"/>
    <col min="15" max="15" width="9.140625" style="63"/>
    <col min="16" max="16" width="21" style="63" bestFit="1" customWidth="1"/>
    <col min="17" max="17" width="18.7109375" style="63" bestFit="1" customWidth="1"/>
    <col min="18" max="18" width="21.140625" style="63" bestFit="1" customWidth="1"/>
    <col min="19" max="16384" width="9.140625" style="63"/>
  </cols>
  <sheetData>
    <row r="6" spans="9:17" x14ac:dyDescent="0.2">
      <c r="O6" s="66"/>
    </row>
    <row r="7" spans="9:17" x14ac:dyDescent="0.2">
      <c r="O7" s="66"/>
    </row>
    <row r="8" spans="9:17" x14ac:dyDescent="0.2">
      <c r="I8" s="29" t="s">
        <v>103</v>
      </c>
      <c r="J8" s="7" t="s">
        <v>108</v>
      </c>
      <c r="K8" s="33" t="s">
        <v>102</v>
      </c>
      <c r="M8" s="29" t="s">
        <v>103</v>
      </c>
      <c r="N8" s="7" t="s">
        <v>104</v>
      </c>
      <c r="O8" s="66"/>
      <c r="P8" s="29" t="s">
        <v>105</v>
      </c>
      <c r="Q8" s="7" t="s">
        <v>104</v>
      </c>
    </row>
    <row r="9" spans="9:17" x14ac:dyDescent="0.2">
      <c r="I9" s="30" t="s">
        <v>34</v>
      </c>
      <c r="J9" s="34">
        <v>635</v>
      </c>
      <c r="K9" s="34">
        <v>317.5</v>
      </c>
      <c r="M9" s="30" t="s">
        <v>34</v>
      </c>
      <c r="N9" s="35">
        <v>110</v>
      </c>
      <c r="O9" s="66"/>
      <c r="P9" s="30" t="s">
        <v>15</v>
      </c>
      <c r="Q9" s="35">
        <v>410</v>
      </c>
    </row>
    <row r="10" spans="9:17" x14ac:dyDescent="0.2">
      <c r="I10" s="30" t="s">
        <v>48</v>
      </c>
      <c r="J10" s="34">
        <v>320</v>
      </c>
      <c r="K10" s="34">
        <v>160</v>
      </c>
      <c r="M10" s="30" t="s">
        <v>48</v>
      </c>
      <c r="N10" s="35">
        <v>70</v>
      </c>
      <c r="O10" s="66"/>
      <c r="P10" s="30" t="s">
        <v>9</v>
      </c>
      <c r="Q10" s="35">
        <v>360</v>
      </c>
    </row>
    <row r="11" spans="9:17" x14ac:dyDescent="0.2">
      <c r="I11" s="30" t="s">
        <v>43</v>
      </c>
      <c r="J11" s="34">
        <v>635</v>
      </c>
      <c r="K11" s="34">
        <v>317.5</v>
      </c>
      <c r="M11" s="30" t="s">
        <v>43</v>
      </c>
      <c r="N11" s="35">
        <v>110</v>
      </c>
      <c r="O11" s="66"/>
      <c r="P11" s="30" t="s">
        <v>12</v>
      </c>
      <c r="Q11" s="35">
        <v>420</v>
      </c>
    </row>
    <row r="12" spans="9:17" x14ac:dyDescent="0.2">
      <c r="I12" s="30" t="s">
        <v>21</v>
      </c>
      <c r="J12" s="34">
        <v>635</v>
      </c>
      <c r="K12" s="34">
        <v>317.5</v>
      </c>
      <c r="M12" s="30" t="s">
        <v>21</v>
      </c>
      <c r="N12" s="35">
        <v>110</v>
      </c>
      <c r="O12" s="66"/>
      <c r="P12" s="30" t="s">
        <v>19</v>
      </c>
      <c r="Q12" s="35">
        <v>220</v>
      </c>
    </row>
    <row r="13" spans="9:17" x14ac:dyDescent="0.2">
      <c r="I13" s="30" t="s">
        <v>8</v>
      </c>
      <c r="J13" s="34">
        <v>320</v>
      </c>
      <c r="K13" s="34">
        <v>160</v>
      </c>
      <c r="M13" s="30" t="s">
        <v>8</v>
      </c>
      <c r="N13" s="35">
        <v>70</v>
      </c>
      <c r="O13" s="66"/>
      <c r="P13" s="30" t="s">
        <v>96</v>
      </c>
      <c r="Q13" s="35">
        <v>1410</v>
      </c>
    </row>
    <row r="14" spans="9:17" x14ac:dyDescent="0.2">
      <c r="I14" s="30" t="s">
        <v>25</v>
      </c>
      <c r="J14" s="34">
        <v>635</v>
      </c>
      <c r="K14" s="34">
        <v>317.5</v>
      </c>
      <c r="M14" s="30" t="s">
        <v>25</v>
      </c>
      <c r="N14" s="35">
        <v>110</v>
      </c>
      <c r="O14" s="66"/>
    </row>
    <row r="15" spans="9:17" x14ac:dyDescent="0.2">
      <c r="I15" s="30" t="s">
        <v>32</v>
      </c>
      <c r="J15" s="34">
        <v>635</v>
      </c>
      <c r="K15" s="34">
        <v>317.5</v>
      </c>
      <c r="M15" s="30" t="s">
        <v>32</v>
      </c>
      <c r="N15" s="35">
        <v>110</v>
      </c>
      <c r="O15" s="66"/>
    </row>
    <row r="16" spans="9:17" x14ac:dyDescent="0.2">
      <c r="I16" s="30" t="s">
        <v>50</v>
      </c>
      <c r="J16" s="34">
        <v>320</v>
      </c>
      <c r="K16" s="34">
        <v>160</v>
      </c>
      <c r="M16" s="30" t="s">
        <v>50</v>
      </c>
      <c r="N16" s="35">
        <v>70</v>
      </c>
      <c r="O16" s="66"/>
      <c r="P16" s="29" t="s">
        <v>106</v>
      </c>
      <c r="Q16" s="33" t="s">
        <v>107</v>
      </c>
    </row>
    <row r="17" spans="9:17" x14ac:dyDescent="0.2">
      <c r="I17" s="30" t="s">
        <v>11</v>
      </c>
      <c r="J17" s="34">
        <v>320</v>
      </c>
      <c r="K17" s="34">
        <v>160</v>
      </c>
      <c r="M17" s="30" t="s">
        <v>11</v>
      </c>
      <c r="N17" s="35">
        <v>70</v>
      </c>
      <c r="O17" s="66"/>
      <c r="P17" s="30" t="s">
        <v>68</v>
      </c>
      <c r="Q17" s="72"/>
    </row>
    <row r="18" spans="9:17" x14ac:dyDescent="0.2">
      <c r="I18" s="30" t="s">
        <v>14</v>
      </c>
      <c r="J18" s="34">
        <v>320</v>
      </c>
      <c r="K18" s="34">
        <v>160</v>
      </c>
      <c r="M18" s="30" t="s">
        <v>14</v>
      </c>
      <c r="N18" s="35">
        <v>70</v>
      </c>
      <c r="O18" s="66"/>
      <c r="P18" s="31" t="s">
        <v>15</v>
      </c>
      <c r="Q18" s="72">
        <v>2</v>
      </c>
    </row>
    <row r="19" spans="9:17" x14ac:dyDescent="0.2">
      <c r="I19" s="30" t="s">
        <v>52</v>
      </c>
      <c r="J19" s="34">
        <v>320</v>
      </c>
      <c r="K19" s="34">
        <v>160</v>
      </c>
      <c r="M19" s="30" t="s">
        <v>52</v>
      </c>
      <c r="N19" s="35">
        <v>70</v>
      </c>
      <c r="O19" s="66"/>
      <c r="P19" s="31" t="s">
        <v>9</v>
      </c>
      <c r="Q19" s="72">
        <v>1</v>
      </c>
    </row>
    <row r="20" spans="9:17" x14ac:dyDescent="0.2">
      <c r="I20" s="30" t="s">
        <v>30</v>
      </c>
      <c r="J20" s="34">
        <v>635</v>
      </c>
      <c r="K20" s="34">
        <v>317.5</v>
      </c>
      <c r="M20" s="30" t="s">
        <v>30</v>
      </c>
      <c r="N20" s="35">
        <v>110</v>
      </c>
      <c r="O20" s="66"/>
      <c r="P20" s="31" t="s">
        <v>12</v>
      </c>
      <c r="Q20" s="72">
        <v>2</v>
      </c>
    </row>
    <row r="21" spans="9:17" x14ac:dyDescent="0.2">
      <c r="I21" s="30" t="s">
        <v>39</v>
      </c>
      <c r="J21" s="34">
        <v>635</v>
      </c>
      <c r="K21" s="34">
        <v>317.5</v>
      </c>
      <c r="M21" s="30" t="s">
        <v>39</v>
      </c>
      <c r="N21" s="35">
        <v>110</v>
      </c>
      <c r="O21" s="66"/>
      <c r="P21" s="31" t="s">
        <v>19</v>
      </c>
      <c r="Q21" s="72">
        <v>1</v>
      </c>
    </row>
    <row r="22" spans="9:17" x14ac:dyDescent="0.2">
      <c r="I22" s="30" t="s">
        <v>41</v>
      </c>
      <c r="J22" s="34">
        <v>635</v>
      </c>
      <c r="K22" s="34">
        <v>317.5</v>
      </c>
      <c r="M22" s="30" t="s">
        <v>41</v>
      </c>
      <c r="N22" s="35">
        <v>110</v>
      </c>
      <c r="O22" s="66"/>
      <c r="P22" s="30" t="s">
        <v>65</v>
      </c>
      <c r="Q22" s="72"/>
    </row>
    <row r="23" spans="9:17" x14ac:dyDescent="0.2">
      <c r="I23" s="30" t="s">
        <v>23</v>
      </c>
      <c r="J23" s="34">
        <v>635</v>
      </c>
      <c r="K23" s="34">
        <v>317.5</v>
      </c>
      <c r="M23" s="30" t="s">
        <v>23</v>
      </c>
      <c r="N23" s="35">
        <v>110</v>
      </c>
      <c r="O23" s="66"/>
      <c r="P23" s="31" t="s">
        <v>15</v>
      </c>
      <c r="Q23" s="72">
        <v>2</v>
      </c>
    </row>
    <row r="24" spans="9:17" x14ac:dyDescent="0.2">
      <c r="I24" s="30" t="s">
        <v>96</v>
      </c>
      <c r="J24" s="34">
        <v>7635</v>
      </c>
      <c r="K24" s="34">
        <v>254.5</v>
      </c>
      <c r="M24" s="30" t="s">
        <v>96</v>
      </c>
      <c r="N24" s="35">
        <v>1410</v>
      </c>
      <c r="O24" s="66"/>
      <c r="P24" s="31" t="s">
        <v>9</v>
      </c>
      <c r="Q24" s="72">
        <v>1</v>
      </c>
    </row>
    <row r="25" spans="9:17" x14ac:dyDescent="0.2">
      <c r="O25" s="66"/>
      <c r="P25" s="31" t="s">
        <v>12</v>
      </c>
      <c r="Q25" s="72">
        <v>2</v>
      </c>
    </row>
    <row r="26" spans="9:17" x14ac:dyDescent="0.2">
      <c r="O26" s="66"/>
      <c r="P26" s="31" t="s">
        <v>19</v>
      </c>
      <c r="Q26" s="72">
        <v>1</v>
      </c>
    </row>
    <row r="27" spans="9:17" x14ac:dyDescent="0.2">
      <c r="O27" s="66"/>
      <c r="P27" s="30" t="s">
        <v>89</v>
      </c>
      <c r="Q27" s="72"/>
    </row>
    <row r="28" spans="9:17" x14ac:dyDescent="0.2">
      <c r="O28" s="66"/>
      <c r="P28" s="31" t="s">
        <v>15</v>
      </c>
      <c r="Q28" s="72">
        <v>1</v>
      </c>
    </row>
    <row r="29" spans="9:17" x14ac:dyDescent="0.2">
      <c r="O29" s="66"/>
      <c r="P29" s="31" t="s">
        <v>9</v>
      </c>
      <c r="Q29" s="72">
        <v>2</v>
      </c>
    </row>
    <row r="30" spans="9:17" x14ac:dyDescent="0.2">
      <c r="O30" s="66"/>
      <c r="P30" s="31" t="s">
        <v>12</v>
      </c>
      <c r="Q30" s="72">
        <v>2</v>
      </c>
    </row>
    <row r="31" spans="9:17" x14ac:dyDescent="0.2">
      <c r="O31" s="66"/>
      <c r="P31" s="31" t="s">
        <v>19</v>
      </c>
      <c r="Q31" s="72">
        <v>1</v>
      </c>
    </row>
    <row r="32" spans="9:17" x14ac:dyDescent="0.2">
      <c r="O32" s="66"/>
      <c r="P32" s="30" t="s">
        <v>90</v>
      </c>
      <c r="Q32" s="72"/>
    </row>
    <row r="33" spans="15:17" x14ac:dyDescent="0.2">
      <c r="O33" s="66"/>
      <c r="P33" s="31" t="s">
        <v>15</v>
      </c>
      <c r="Q33" s="72">
        <v>1</v>
      </c>
    </row>
    <row r="34" spans="15:17" x14ac:dyDescent="0.2">
      <c r="O34" s="66"/>
      <c r="P34" s="31" t="s">
        <v>9</v>
      </c>
      <c r="Q34" s="72">
        <v>2</v>
      </c>
    </row>
    <row r="35" spans="15:17" x14ac:dyDescent="0.2">
      <c r="O35" s="66"/>
      <c r="P35" s="31" t="s">
        <v>12</v>
      </c>
      <c r="Q35" s="72">
        <v>2</v>
      </c>
    </row>
    <row r="36" spans="15:17" x14ac:dyDescent="0.2">
      <c r="O36" s="66"/>
      <c r="P36" s="31" t="s">
        <v>19</v>
      </c>
      <c r="Q36" s="72">
        <v>1</v>
      </c>
    </row>
    <row r="37" spans="15:17" x14ac:dyDescent="0.2">
      <c r="O37" s="66"/>
      <c r="P37" s="30" t="s">
        <v>62</v>
      </c>
      <c r="Q37" s="72"/>
    </row>
    <row r="38" spans="15:17" x14ac:dyDescent="0.2">
      <c r="O38" s="66"/>
      <c r="P38" s="31" t="s">
        <v>15</v>
      </c>
      <c r="Q38" s="72">
        <v>2</v>
      </c>
    </row>
    <row r="39" spans="15:17" x14ac:dyDescent="0.2">
      <c r="O39" s="66"/>
      <c r="P39" s="31" t="s">
        <v>9</v>
      </c>
      <c r="Q39" s="72">
        <v>2</v>
      </c>
    </row>
    <row r="40" spans="15:17" x14ac:dyDescent="0.2">
      <c r="O40" s="66"/>
      <c r="P40" s="31" t="s">
        <v>12</v>
      </c>
      <c r="Q40" s="72">
        <v>1</v>
      </c>
    </row>
    <row r="41" spans="15:17" x14ac:dyDescent="0.2">
      <c r="O41" s="66"/>
      <c r="P41" s="31" t="s">
        <v>19</v>
      </c>
      <c r="Q41" s="72">
        <v>1</v>
      </c>
    </row>
    <row r="42" spans="15:17" x14ac:dyDescent="0.2">
      <c r="O42" s="66"/>
      <c r="P42" s="30" t="s">
        <v>96</v>
      </c>
      <c r="Q42" s="35">
        <v>30</v>
      </c>
    </row>
    <row r="43" spans="15:17" x14ac:dyDescent="0.2">
      <c r="O43" s="66"/>
      <c r="P43" s="61"/>
      <c r="Q43" s="61"/>
    </row>
    <row r="44" spans="15:17" x14ac:dyDescent="0.2">
      <c r="O44" s="66"/>
      <c r="P44" s="61"/>
      <c r="Q44" s="61"/>
    </row>
    <row r="45" spans="15:17" x14ac:dyDescent="0.2">
      <c r="O45" s="66"/>
      <c r="P45" s="61"/>
      <c r="Q45" s="61"/>
    </row>
    <row r="46" spans="15:17" x14ac:dyDescent="0.2">
      <c r="P46" s="61"/>
      <c r="Q46" s="61"/>
    </row>
    <row r="47" spans="15:17" x14ac:dyDescent="0.2">
      <c r="P47" s="61"/>
      <c r="Q47" s="61"/>
    </row>
  </sheetData>
  <pageMargins left="0.7" right="0.7" top="0.75" bottom="0.75" header="0.3" footer="0.3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62809-BC8D-4751-9328-BA57D519015C}">
  <sheetPr codeName="Foglio4">
    <tabColor theme="4" tint="0.39997558519241921"/>
  </sheetPr>
  <dimension ref="A1"/>
  <sheetViews>
    <sheetView showGridLines="0" zoomScale="85" zoomScaleNormal="85" workbookViewId="0">
      <selection activeCell="N40" sqref="N40"/>
    </sheetView>
  </sheetViews>
  <sheetFormatPr defaultRowHeight="15" x14ac:dyDescent="0.25"/>
  <cols>
    <col min="1" max="1" width="4.7109375" style="61" customWidth="1"/>
    <col min="2" max="16384" width="9.140625" style="61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0A245-971D-4CB6-A7B6-42E095CB899D}">
  <sheetPr codeName="Foglio6">
    <tabColor rgb="FF002060"/>
  </sheetPr>
  <dimension ref="A1:I31"/>
  <sheetViews>
    <sheetView showGridLines="0" workbookViewId="0">
      <selection activeCell="C2" sqref="C2"/>
    </sheetView>
  </sheetViews>
  <sheetFormatPr defaultRowHeight="15.75" x14ac:dyDescent="0.25"/>
  <cols>
    <col min="1" max="2" width="21.28515625" style="60" bestFit="1" customWidth="1"/>
    <col min="3" max="3" width="21.28515625" style="67" customWidth="1"/>
    <col min="4" max="4" width="18.140625" style="67" bestFit="1" customWidth="1"/>
    <col min="5" max="5" width="16" style="67" bestFit="1" customWidth="1"/>
    <col min="6" max="6" width="17.140625" style="67" bestFit="1" customWidth="1"/>
    <col min="7" max="7" width="12.85546875" style="67" bestFit="1" customWidth="1"/>
    <col min="8" max="8" width="21.7109375" style="67" bestFit="1" customWidth="1"/>
    <col min="9" max="9" width="10.140625" style="67" bestFit="1" customWidth="1"/>
    <col min="10" max="16384" width="9.140625" style="67"/>
  </cols>
  <sheetData>
    <row r="1" spans="1:9" x14ac:dyDescent="0.25">
      <c r="A1" s="36" t="s">
        <v>87</v>
      </c>
      <c r="B1" s="1" t="s">
        <v>0</v>
      </c>
      <c r="C1" s="1" t="s">
        <v>86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</row>
    <row r="2" spans="1:9" x14ac:dyDescent="0.25">
      <c r="A2" s="37" t="str">
        <f>LEFT(CORSI_RECUPERO[[#This Row],[Materia]],2)&amp;"-"&amp;COUNTA(A3:A3000)</f>
        <v>LE-29</v>
      </c>
      <c r="B2" s="1" t="s">
        <v>7</v>
      </c>
      <c r="C2" s="1" t="s">
        <v>89</v>
      </c>
      <c r="D2" s="2">
        <v>45110</v>
      </c>
      <c r="E2" s="2">
        <v>45141</v>
      </c>
      <c r="F2" s="3">
        <v>40</v>
      </c>
      <c r="G2" s="4">
        <v>200</v>
      </c>
      <c r="H2" s="1" t="s">
        <v>8</v>
      </c>
      <c r="I2" s="1" t="s">
        <v>9</v>
      </c>
    </row>
    <row r="3" spans="1:9" x14ac:dyDescent="0.25">
      <c r="A3" s="38" t="str">
        <f>LEFT(CORSI_RECUPERO[[#This Row],[Materia]],2)&amp;"-"&amp;COUNTA(A4:A3001)</f>
        <v>LE-28</v>
      </c>
      <c r="B3" s="1" t="s">
        <v>10</v>
      </c>
      <c r="C3" s="1" t="s">
        <v>89</v>
      </c>
      <c r="D3" s="2">
        <v>45111</v>
      </c>
      <c r="E3" s="2">
        <v>45142</v>
      </c>
      <c r="F3" s="3">
        <v>40</v>
      </c>
      <c r="G3" s="4">
        <v>200</v>
      </c>
      <c r="H3" s="1" t="s">
        <v>11</v>
      </c>
      <c r="I3" s="1" t="s">
        <v>12</v>
      </c>
    </row>
    <row r="4" spans="1:9" x14ac:dyDescent="0.25">
      <c r="A4" s="37" t="str">
        <f>LEFT(CORSI_RECUPERO[[#This Row],[Materia]],2)&amp;"-"&amp;COUNTA(A5:A3002)</f>
        <v>LE-27</v>
      </c>
      <c r="B4" s="1" t="s">
        <v>13</v>
      </c>
      <c r="C4" s="1" t="s">
        <v>89</v>
      </c>
      <c r="D4" s="2">
        <v>45112</v>
      </c>
      <c r="E4" s="2">
        <v>45143</v>
      </c>
      <c r="F4" s="3">
        <v>40</v>
      </c>
      <c r="G4" s="4">
        <v>200</v>
      </c>
      <c r="H4" s="1" t="s">
        <v>14</v>
      </c>
      <c r="I4" s="1" t="s">
        <v>15</v>
      </c>
    </row>
    <row r="5" spans="1:9" x14ac:dyDescent="0.25">
      <c r="A5" s="38" t="str">
        <f>LEFT(CORSI_RECUPERO[[#This Row],[Materia]],2)&amp;"-"&amp;COUNTA(A6:A3003)</f>
        <v>LE-26</v>
      </c>
      <c r="B5" s="1" t="s">
        <v>16</v>
      </c>
      <c r="C5" s="1" t="s">
        <v>89</v>
      </c>
      <c r="D5" s="2">
        <v>45113</v>
      </c>
      <c r="E5" s="2">
        <v>45145</v>
      </c>
      <c r="F5" s="3">
        <v>30</v>
      </c>
      <c r="G5" s="4">
        <v>120</v>
      </c>
      <c r="H5" s="1" t="s">
        <v>8</v>
      </c>
      <c r="I5" s="1" t="s">
        <v>9</v>
      </c>
    </row>
    <row r="6" spans="1:9" x14ac:dyDescent="0.25">
      <c r="A6" s="37" t="str">
        <f>LEFT(CORSI_RECUPERO[[#This Row],[Materia]],2)&amp;"-"&amp;COUNTA(A7:A3004)</f>
        <v>LE-25</v>
      </c>
      <c r="B6" s="1" t="s">
        <v>17</v>
      </c>
      <c r="C6" s="1" t="s">
        <v>89</v>
      </c>
      <c r="D6" s="2">
        <v>45114</v>
      </c>
      <c r="E6" s="2">
        <v>45146</v>
      </c>
      <c r="F6" s="3">
        <v>30</v>
      </c>
      <c r="G6" s="4">
        <v>120</v>
      </c>
      <c r="H6" s="1" t="s">
        <v>11</v>
      </c>
      <c r="I6" s="1" t="s">
        <v>12</v>
      </c>
    </row>
    <row r="7" spans="1:9" x14ac:dyDescent="0.25">
      <c r="A7" s="38" t="str">
        <f>LEFT(CORSI_RECUPERO[[#This Row],[Materia]],2)&amp;"-"&amp;COUNTA(A8:A3005)</f>
        <v>LE-24</v>
      </c>
      <c r="B7" s="1" t="s">
        <v>18</v>
      </c>
      <c r="C7" s="1" t="s">
        <v>89</v>
      </c>
      <c r="D7" s="2">
        <v>45115</v>
      </c>
      <c r="E7" s="2">
        <v>45147</v>
      </c>
      <c r="F7" s="3">
        <v>30</v>
      </c>
      <c r="G7" s="4">
        <v>120</v>
      </c>
      <c r="H7" s="1" t="s">
        <v>14</v>
      </c>
      <c r="I7" s="1" t="s">
        <v>19</v>
      </c>
    </row>
    <row r="8" spans="1:9" x14ac:dyDescent="0.25">
      <c r="A8" s="37" t="str">
        <f>LEFT(CORSI_RECUPERO[[#This Row],[Materia]],2)&amp;"-"&amp;COUNTA(A9:A3006)</f>
        <v>MA-23</v>
      </c>
      <c r="B8" s="1" t="s">
        <v>20</v>
      </c>
      <c r="C8" s="1" t="s">
        <v>62</v>
      </c>
      <c r="D8" s="2">
        <v>45110</v>
      </c>
      <c r="E8" s="2">
        <v>45141</v>
      </c>
      <c r="F8" s="3">
        <v>60</v>
      </c>
      <c r="G8" s="4">
        <v>360</v>
      </c>
      <c r="H8" s="1" t="s">
        <v>21</v>
      </c>
      <c r="I8" s="1" t="s">
        <v>9</v>
      </c>
    </row>
    <row r="9" spans="1:9" x14ac:dyDescent="0.25">
      <c r="A9" s="38" t="str">
        <f>LEFT(CORSI_RECUPERO[[#This Row],[Materia]],2)&amp;"-"&amp;COUNTA(A10:A3007)</f>
        <v>MA-22</v>
      </c>
      <c r="B9" s="1" t="s">
        <v>22</v>
      </c>
      <c r="C9" s="1" t="s">
        <v>62</v>
      </c>
      <c r="D9" s="2">
        <v>45111</v>
      </c>
      <c r="E9" s="2">
        <v>45142</v>
      </c>
      <c r="F9" s="3">
        <v>60</v>
      </c>
      <c r="G9" s="4">
        <v>360</v>
      </c>
      <c r="H9" s="1" t="s">
        <v>23</v>
      </c>
      <c r="I9" s="1" t="s">
        <v>12</v>
      </c>
    </row>
    <row r="10" spans="1:9" x14ac:dyDescent="0.25">
      <c r="A10" s="37" t="str">
        <f>LEFT(CORSI_RECUPERO[[#This Row],[Materia]],2)&amp;"-"&amp;COUNTA(A11:A3008)</f>
        <v>MA-21</v>
      </c>
      <c r="B10" s="1" t="s">
        <v>24</v>
      </c>
      <c r="C10" s="1" t="s">
        <v>62</v>
      </c>
      <c r="D10" s="2">
        <v>45112</v>
      </c>
      <c r="E10" s="2">
        <v>45143</v>
      </c>
      <c r="F10" s="3">
        <v>60</v>
      </c>
      <c r="G10" s="4">
        <v>360</v>
      </c>
      <c r="H10" s="1" t="s">
        <v>25</v>
      </c>
      <c r="I10" s="1" t="s">
        <v>15</v>
      </c>
    </row>
    <row r="11" spans="1:9" x14ac:dyDescent="0.25">
      <c r="A11" s="38" t="str">
        <f>LEFT(CORSI_RECUPERO[[#This Row],[Materia]],2)&amp;"-"&amp;COUNTA(A12:A3009)</f>
        <v>MA-20</v>
      </c>
      <c r="B11" s="1" t="s">
        <v>26</v>
      </c>
      <c r="C11" s="1" t="s">
        <v>62</v>
      </c>
      <c r="D11" s="2">
        <v>45113</v>
      </c>
      <c r="E11" s="2">
        <v>45145</v>
      </c>
      <c r="F11" s="3">
        <v>50</v>
      </c>
      <c r="G11" s="4">
        <v>275</v>
      </c>
      <c r="H11" s="1" t="s">
        <v>21</v>
      </c>
      <c r="I11" s="1" t="s">
        <v>9</v>
      </c>
    </row>
    <row r="12" spans="1:9" x14ac:dyDescent="0.25">
      <c r="A12" s="37" t="str">
        <f>LEFT(CORSI_RECUPERO[[#This Row],[Materia]],2)&amp;"-"&amp;COUNTA(A13:A3010)</f>
        <v>MA-19</v>
      </c>
      <c r="B12" s="1" t="s">
        <v>27</v>
      </c>
      <c r="C12" s="1" t="s">
        <v>62</v>
      </c>
      <c r="D12" s="2">
        <v>45114</v>
      </c>
      <c r="E12" s="2">
        <v>45146</v>
      </c>
      <c r="F12" s="3">
        <v>50</v>
      </c>
      <c r="G12" s="4">
        <v>275</v>
      </c>
      <c r="H12" s="1" t="s">
        <v>25</v>
      </c>
      <c r="I12" s="1" t="s">
        <v>15</v>
      </c>
    </row>
    <row r="13" spans="1:9" x14ac:dyDescent="0.25">
      <c r="A13" s="38" t="str">
        <f>LEFT(CORSI_RECUPERO[[#This Row],[Materia]],2)&amp;"-"&amp;COUNTA(A14:A3011)</f>
        <v>MA-18</v>
      </c>
      <c r="B13" s="1" t="s">
        <v>28</v>
      </c>
      <c r="C13" s="1" t="s">
        <v>62</v>
      </c>
      <c r="D13" s="2">
        <v>45115</v>
      </c>
      <c r="E13" s="2">
        <v>45147</v>
      </c>
      <c r="F13" s="3">
        <v>50</v>
      </c>
      <c r="G13" s="4">
        <v>275</v>
      </c>
      <c r="H13" s="1" t="s">
        <v>23</v>
      </c>
      <c r="I13" s="1" t="s">
        <v>19</v>
      </c>
    </row>
    <row r="14" spans="1:9" x14ac:dyDescent="0.25">
      <c r="A14" s="37" t="str">
        <f>LEFT(CORSI_RECUPERO[[#This Row],[Materia]],2)&amp;"-"&amp;COUNTA(A15:A3012)</f>
        <v>FI-17</v>
      </c>
      <c r="B14" s="1" t="s">
        <v>29</v>
      </c>
      <c r="C14" s="1" t="s">
        <v>65</v>
      </c>
      <c r="D14" s="2">
        <v>45110</v>
      </c>
      <c r="E14" s="2">
        <v>45141</v>
      </c>
      <c r="F14" s="3">
        <v>60</v>
      </c>
      <c r="G14" s="4">
        <v>360</v>
      </c>
      <c r="H14" s="1" t="s">
        <v>30</v>
      </c>
      <c r="I14" s="1" t="s">
        <v>9</v>
      </c>
    </row>
    <row r="15" spans="1:9" x14ac:dyDescent="0.25">
      <c r="A15" s="38" t="str">
        <f>LEFT(CORSI_RECUPERO[[#This Row],[Materia]],2)&amp;"-"&amp;COUNTA(A16:A3013)</f>
        <v>FI-16</v>
      </c>
      <c r="B15" s="1" t="s">
        <v>31</v>
      </c>
      <c r="C15" s="1" t="s">
        <v>65</v>
      </c>
      <c r="D15" s="2">
        <v>45111</v>
      </c>
      <c r="E15" s="2">
        <v>45142</v>
      </c>
      <c r="F15" s="3">
        <v>60</v>
      </c>
      <c r="G15" s="4">
        <v>360</v>
      </c>
      <c r="H15" s="1" t="s">
        <v>32</v>
      </c>
      <c r="I15" s="1" t="s">
        <v>12</v>
      </c>
    </row>
    <row r="16" spans="1:9" x14ac:dyDescent="0.25">
      <c r="A16" s="37" t="str">
        <f>LEFT(CORSI_RECUPERO[[#This Row],[Materia]],2)&amp;"-"&amp;COUNTA(A17:A3014)</f>
        <v>FI-15</v>
      </c>
      <c r="B16" s="1" t="s">
        <v>33</v>
      </c>
      <c r="C16" s="1" t="s">
        <v>65</v>
      </c>
      <c r="D16" s="2">
        <v>45112</v>
      </c>
      <c r="E16" s="2">
        <v>45143</v>
      </c>
      <c r="F16" s="3">
        <v>60</v>
      </c>
      <c r="G16" s="4">
        <v>360</v>
      </c>
      <c r="H16" s="1" t="s">
        <v>34</v>
      </c>
      <c r="I16" s="1" t="s">
        <v>15</v>
      </c>
    </row>
    <row r="17" spans="1:9" x14ac:dyDescent="0.25">
      <c r="A17" s="38" t="str">
        <f>LEFT(CORSI_RECUPERO[[#This Row],[Materia]],2)&amp;"-"&amp;COUNTA(A18:A3015)</f>
        <v>FI-14</v>
      </c>
      <c r="B17" s="1" t="s">
        <v>35</v>
      </c>
      <c r="C17" s="1" t="s">
        <v>65</v>
      </c>
      <c r="D17" s="2">
        <v>45113</v>
      </c>
      <c r="E17" s="2">
        <v>45145</v>
      </c>
      <c r="F17" s="3">
        <v>50</v>
      </c>
      <c r="G17" s="4">
        <v>275</v>
      </c>
      <c r="H17" s="1" t="s">
        <v>32</v>
      </c>
      <c r="I17" s="1" t="s">
        <v>12</v>
      </c>
    </row>
    <row r="18" spans="1:9" x14ac:dyDescent="0.25">
      <c r="A18" s="37" t="str">
        <f>LEFT(CORSI_RECUPERO[[#This Row],[Materia]],2)&amp;"-"&amp;COUNTA(A19:A3016)</f>
        <v>FI-13</v>
      </c>
      <c r="B18" s="1" t="s">
        <v>36</v>
      </c>
      <c r="C18" s="1" t="s">
        <v>65</v>
      </c>
      <c r="D18" s="2">
        <v>45114</v>
      </c>
      <c r="E18" s="2">
        <v>45146</v>
      </c>
      <c r="F18" s="3">
        <v>50</v>
      </c>
      <c r="G18" s="4">
        <v>275</v>
      </c>
      <c r="H18" s="1" t="s">
        <v>34</v>
      </c>
      <c r="I18" s="1" t="s">
        <v>15</v>
      </c>
    </row>
    <row r="19" spans="1:9" x14ac:dyDescent="0.25">
      <c r="A19" s="38" t="str">
        <f>LEFT(CORSI_RECUPERO[[#This Row],[Materia]],2)&amp;"-"&amp;COUNTA(A20:A3017)</f>
        <v>FI-12</v>
      </c>
      <c r="B19" s="1" t="s">
        <v>37</v>
      </c>
      <c r="C19" s="1" t="s">
        <v>65</v>
      </c>
      <c r="D19" s="2">
        <v>45115</v>
      </c>
      <c r="E19" s="2">
        <v>45147</v>
      </c>
      <c r="F19" s="3">
        <v>50</v>
      </c>
      <c r="G19" s="4">
        <v>275</v>
      </c>
      <c r="H19" s="1" t="s">
        <v>30</v>
      </c>
      <c r="I19" s="1" t="s">
        <v>19</v>
      </c>
    </row>
    <row r="20" spans="1:9" x14ac:dyDescent="0.25">
      <c r="A20" s="37" t="str">
        <f>LEFT(CORSI_RECUPERO[[#This Row],[Materia]],2)&amp;"-"&amp;COUNTA(A21:A3018)</f>
        <v>FI-11</v>
      </c>
      <c r="B20" s="1" t="s">
        <v>38</v>
      </c>
      <c r="C20" s="1" t="s">
        <v>68</v>
      </c>
      <c r="D20" s="2">
        <v>45110</v>
      </c>
      <c r="E20" s="2">
        <v>45141</v>
      </c>
      <c r="F20" s="3">
        <v>60</v>
      </c>
      <c r="G20" s="4">
        <v>360</v>
      </c>
      <c r="H20" s="1" t="s">
        <v>39</v>
      </c>
      <c r="I20" s="1" t="s">
        <v>19</v>
      </c>
    </row>
    <row r="21" spans="1:9" x14ac:dyDescent="0.25">
      <c r="A21" s="38" t="str">
        <f>LEFT(CORSI_RECUPERO[[#This Row],[Materia]],2)&amp;"-"&amp;COUNTA(A22:A3019)</f>
        <v>FI-10</v>
      </c>
      <c r="B21" s="1" t="s">
        <v>40</v>
      </c>
      <c r="C21" s="1" t="s">
        <v>68</v>
      </c>
      <c r="D21" s="2">
        <v>45111</v>
      </c>
      <c r="E21" s="2">
        <v>45142</v>
      </c>
      <c r="F21" s="3">
        <v>60</v>
      </c>
      <c r="G21" s="4">
        <v>360</v>
      </c>
      <c r="H21" s="1" t="s">
        <v>41</v>
      </c>
      <c r="I21" s="1" t="s">
        <v>12</v>
      </c>
    </row>
    <row r="22" spans="1:9" x14ac:dyDescent="0.25">
      <c r="A22" s="37" t="str">
        <f>LEFT(CORSI_RECUPERO[[#This Row],[Materia]],2)&amp;"-"&amp;COUNTA(A23:A3020)</f>
        <v>FI-9</v>
      </c>
      <c r="B22" s="1" t="s">
        <v>42</v>
      </c>
      <c r="C22" s="1" t="s">
        <v>68</v>
      </c>
      <c r="D22" s="2">
        <v>45112</v>
      </c>
      <c r="E22" s="2">
        <v>45143</v>
      </c>
      <c r="F22" s="3">
        <v>60</v>
      </c>
      <c r="G22" s="4">
        <v>360</v>
      </c>
      <c r="H22" s="1" t="s">
        <v>43</v>
      </c>
      <c r="I22" s="1" t="s">
        <v>15</v>
      </c>
    </row>
    <row r="23" spans="1:9" x14ac:dyDescent="0.25">
      <c r="A23" s="38" t="str">
        <f>LEFT(CORSI_RECUPERO[[#This Row],[Materia]],2)&amp;"-"&amp;COUNTA(A24:A3021)</f>
        <v>FI-8</v>
      </c>
      <c r="B23" s="1" t="s">
        <v>44</v>
      </c>
      <c r="C23" s="1" t="s">
        <v>68</v>
      </c>
      <c r="D23" s="2">
        <v>45113</v>
      </c>
      <c r="E23" s="2">
        <v>45145</v>
      </c>
      <c r="F23" s="3">
        <v>50</v>
      </c>
      <c r="G23" s="4">
        <v>275</v>
      </c>
      <c r="H23" s="1" t="s">
        <v>41</v>
      </c>
      <c r="I23" s="1" t="s">
        <v>12</v>
      </c>
    </row>
    <row r="24" spans="1:9" x14ac:dyDescent="0.25">
      <c r="A24" s="37" t="str">
        <f>LEFT(CORSI_RECUPERO[[#This Row],[Materia]],2)&amp;"-"&amp;COUNTA(A25:A3022)</f>
        <v>FI-7</v>
      </c>
      <c r="B24" s="1" t="s">
        <v>45</v>
      </c>
      <c r="C24" s="1" t="s">
        <v>68</v>
      </c>
      <c r="D24" s="2">
        <v>45114</v>
      </c>
      <c r="E24" s="2">
        <v>45146</v>
      </c>
      <c r="F24" s="3">
        <v>50</v>
      </c>
      <c r="G24" s="4">
        <v>275</v>
      </c>
      <c r="H24" s="1" t="s">
        <v>43</v>
      </c>
      <c r="I24" s="1" t="s">
        <v>15</v>
      </c>
    </row>
    <row r="25" spans="1:9" x14ac:dyDescent="0.25">
      <c r="A25" s="38" t="str">
        <f>LEFT(CORSI_RECUPERO[[#This Row],[Materia]],2)&amp;"-"&amp;COUNTA(A26:A3023)</f>
        <v>FI-6</v>
      </c>
      <c r="B25" s="1" t="s">
        <v>46</v>
      </c>
      <c r="C25" s="1" t="s">
        <v>68</v>
      </c>
      <c r="D25" s="2">
        <v>45115</v>
      </c>
      <c r="E25" s="2">
        <v>45147</v>
      </c>
      <c r="F25" s="3">
        <v>50</v>
      </c>
      <c r="G25" s="4">
        <v>275</v>
      </c>
      <c r="H25" s="1" t="s">
        <v>39</v>
      </c>
      <c r="I25" s="1" t="s">
        <v>9</v>
      </c>
    </row>
    <row r="26" spans="1:9" x14ac:dyDescent="0.25">
      <c r="A26" s="37" t="str">
        <f>LEFT(CORSI_RECUPERO[[#This Row],[Materia]],2)&amp;"-"&amp;COUNTA(A27:A3024)</f>
        <v>LI-5</v>
      </c>
      <c r="B26" s="1" t="s">
        <v>47</v>
      </c>
      <c r="C26" s="1" t="s">
        <v>90</v>
      </c>
      <c r="D26" s="2">
        <v>45110</v>
      </c>
      <c r="E26" s="2">
        <v>45141</v>
      </c>
      <c r="F26" s="3">
        <v>40</v>
      </c>
      <c r="G26" s="4">
        <v>200</v>
      </c>
      <c r="H26" s="1" t="s">
        <v>48</v>
      </c>
      <c r="I26" s="1" t="s">
        <v>9</v>
      </c>
    </row>
    <row r="27" spans="1:9" x14ac:dyDescent="0.25">
      <c r="A27" s="38" t="str">
        <f>LEFT(CORSI_RECUPERO[[#This Row],[Materia]],2)&amp;"-"&amp;COUNTA(A28:A3025)</f>
        <v>LI-4</v>
      </c>
      <c r="B27" s="1" t="s">
        <v>49</v>
      </c>
      <c r="C27" s="1" t="s">
        <v>90</v>
      </c>
      <c r="D27" s="2">
        <v>45111</v>
      </c>
      <c r="E27" s="2">
        <v>45142</v>
      </c>
      <c r="F27" s="3">
        <v>40</v>
      </c>
      <c r="G27" s="4">
        <v>200</v>
      </c>
      <c r="H27" s="1" t="s">
        <v>50</v>
      </c>
      <c r="I27" s="1" t="s">
        <v>12</v>
      </c>
    </row>
    <row r="28" spans="1:9" x14ac:dyDescent="0.25">
      <c r="A28" s="37" t="str">
        <f>LEFT(CORSI_RECUPERO[[#This Row],[Materia]],2)&amp;"-"&amp;COUNTA(A29:A3026)</f>
        <v>LI-3</v>
      </c>
      <c r="B28" s="1" t="s">
        <v>51</v>
      </c>
      <c r="C28" s="1" t="s">
        <v>90</v>
      </c>
      <c r="D28" s="2">
        <v>45112</v>
      </c>
      <c r="E28" s="2">
        <v>45143</v>
      </c>
      <c r="F28" s="3">
        <v>40</v>
      </c>
      <c r="G28" s="4">
        <v>200</v>
      </c>
      <c r="H28" s="1" t="s">
        <v>52</v>
      </c>
      <c r="I28" s="1" t="s">
        <v>15</v>
      </c>
    </row>
    <row r="29" spans="1:9" x14ac:dyDescent="0.25">
      <c r="A29" s="38" t="str">
        <f>LEFT(CORSI_RECUPERO[[#This Row],[Materia]],2)&amp;"-"&amp;COUNTA(A30:A3027)</f>
        <v>LI-2</v>
      </c>
      <c r="B29" s="1" t="s">
        <v>53</v>
      </c>
      <c r="C29" s="1" t="s">
        <v>90</v>
      </c>
      <c r="D29" s="2">
        <v>45113</v>
      </c>
      <c r="E29" s="2">
        <v>45145</v>
      </c>
      <c r="F29" s="3">
        <v>30</v>
      </c>
      <c r="G29" s="4">
        <v>120</v>
      </c>
      <c r="H29" s="1" t="s">
        <v>48</v>
      </c>
      <c r="I29" s="1" t="s">
        <v>9</v>
      </c>
    </row>
    <row r="30" spans="1:9" x14ac:dyDescent="0.25">
      <c r="A30" s="37" t="str">
        <f>LEFT(CORSI_RECUPERO[[#This Row],[Materia]],2)&amp;"-"&amp;COUNTA(A31:A3028)</f>
        <v>LI-1</v>
      </c>
      <c r="B30" s="1" t="s">
        <v>54</v>
      </c>
      <c r="C30" s="1" t="s">
        <v>90</v>
      </c>
      <c r="D30" s="2">
        <v>45114</v>
      </c>
      <c r="E30" s="2">
        <v>45146</v>
      </c>
      <c r="F30" s="3">
        <v>30</v>
      </c>
      <c r="G30" s="4">
        <v>120</v>
      </c>
      <c r="H30" s="1" t="s">
        <v>50</v>
      </c>
      <c r="I30" s="1" t="s">
        <v>12</v>
      </c>
    </row>
    <row r="31" spans="1:9" x14ac:dyDescent="0.25">
      <c r="A31" s="38" t="str">
        <f>LEFT(CORSI_RECUPERO[[#This Row],[Materia]],2)&amp;"-"&amp;COUNTA(A32:A3029)</f>
        <v>LI-0</v>
      </c>
      <c r="B31" s="1" t="s">
        <v>55</v>
      </c>
      <c r="C31" s="1" t="s">
        <v>90</v>
      </c>
      <c r="D31" s="2">
        <v>45115</v>
      </c>
      <c r="E31" s="2">
        <v>45147</v>
      </c>
      <c r="F31" s="3">
        <v>30</v>
      </c>
      <c r="G31" s="4">
        <v>120</v>
      </c>
      <c r="H31" s="1" t="s">
        <v>52</v>
      </c>
      <c r="I31" s="1" t="s">
        <v>19</v>
      </c>
    </row>
  </sheetData>
  <autoFilter ref="A1" xr:uid="{E1C0A245-971D-4CB6-A7B6-42E095CB899D}"/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003D3-8283-4FB4-9306-B698D6EF89E8}">
  <sheetPr codeName="Foglio7">
    <tabColor theme="8"/>
  </sheetPr>
  <dimension ref="A1:D16"/>
  <sheetViews>
    <sheetView showGridLines="0" workbookViewId="0">
      <selection activeCell="E1" sqref="E1"/>
    </sheetView>
  </sheetViews>
  <sheetFormatPr defaultRowHeight="15" x14ac:dyDescent="0.25"/>
  <cols>
    <col min="1" max="1" width="26.7109375" style="61" bestFit="1" customWidth="1"/>
    <col min="2" max="2" width="24.140625" style="61" bestFit="1" customWidth="1"/>
    <col min="3" max="3" width="25" style="61" bestFit="1" customWidth="1"/>
    <col min="4" max="4" width="16.28515625" style="61" bestFit="1" customWidth="1"/>
    <col min="5" max="16384" width="9.140625" style="61"/>
  </cols>
  <sheetData>
    <row r="1" spans="1:4" ht="15.75" x14ac:dyDescent="0.25">
      <c r="A1" s="1" t="s">
        <v>56</v>
      </c>
      <c r="B1" s="1" t="s">
        <v>57</v>
      </c>
      <c r="C1" s="1" t="s">
        <v>58</v>
      </c>
      <c r="D1" s="1" t="s">
        <v>59</v>
      </c>
    </row>
    <row r="2" spans="1:4" ht="15.75" x14ac:dyDescent="0.25">
      <c r="A2" s="1" t="s">
        <v>8</v>
      </c>
      <c r="B2" s="2">
        <v>22064</v>
      </c>
      <c r="C2" s="1" t="s">
        <v>9</v>
      </c>
      <c r="D2" s="1" t="s">
        <v>89</v>
      </c>
    </row>
    <row r="3" spans="1:4" ht="15.75" x14ac:dyDescent="0.25">
      <c r="A3" s="1" t="s">
        <v>11</v>
      </c>
      <c r="B3" s="2">
        <v>27478</v>
      </c>
      <c r="C3" s="1" t="s">
        <v>12</v>
      </c>
      <c r="D3" s="1" t="s">
        <v>89</v>
      </c>
    </row>
    <row r="4" spans="1:4" ht="15.75" x14ac:dyDescent="0.25">
      <c r="A4" s="1" t="s">
        <v>14</v>
      </c>
      <c r="B4" s="2">
        <v>28157</v>
      </c>
      <c r="C4" s="1" t="s">
        <v>60</v>
      </c>
      <c r="D4" s="1" t="s">
        <v>89</v>
      </c>
    </row>
    <row r="5" spans="1:4" ht="15.75" x14ac:dyDescent="0.25">
      <c r="A5" s="1" t="s">
        <v>21</v>
      </c>
      <c r="B5" s="2">
        <v>29530</v>
      </c>
      <c r="C5" s="1" t="s">
        <v>61</v>
      </c>
      <c r="D5" s="1" t="s">
        <v>62</v>
      </c>
    </row>
    <row r="6" spans="1:4" ht="15.75" x14ac:dyDescent="0.25">
      <c r="A6" s="1" t="s">
        <v>23</v>
      </c>
      <c r="B6" s="2">
        <v>31045</v>
      </c>
      <c r="C6" s="1" t="s">
        <v>63</v>
      </c>
      <c r="D6" s="1" t="s">
        <v>62</v>
      </c>
    </row>
    <row r="7" spans="1:4" ht="15.75" x14ac:dyDescent="0.25">
      <c r="A7" s="1" t="s">
        <v>25</v>
      </c>
      <c r="B7" s="2">
        <v>28018</v>
      </c>
      <c r="C7" s="1" t="s">
        <v>15</v>
      </c>
      <c r="D7" s="1" t="s">
        <v>62</v>
      </c>
    </row>
    <row r="8" spans="1:4" ht="15.75" x14ac:dyDescent="0.25">
      <c r="A8" s="1" t="s">
        <v>30</v>
      </c>
      <c r="B8" s="2">
        <v>31493</v>
      </c>
      <c r="C8" s="1" t="s">
        <v>64</v>
      </c>
      <c r="D8" s="1" t="s">
        <v>65</v>
      </c>
    </row>
    <row r="9" spans="1:4" ht="15.75" x14ac:dyDescent="0.25">
      <c r="A9" s="1" t="s">
        <v>32</v>
      </c>
      <c r="B9" s="2">
        <v>29683</v>
      </c>
      <c r="C9" s="1" t="s">
        <v>12</v>
      </c>
      <c r="D9" s="1" t="s">
        <v>65</v>
      </c>
    </row>
    <row r="10" spans="1:4" ht="15.75" x14ac:dyDescent="0.25">
      <c r="A10" s="1" t="s">
        <v>34</v>
      </c>
      <c r="B10" s="2">
        <v>26906</v>
      </c>
      <c r="C10" s="1" t="s">
        <v>66</v>
      </c>
      <c r="D10" s="1" t="s">
        <v>65</v>
      </c>
    </row>
    <row r="11" spans="1:4" ht="15.75" x14ac:dyDescent="0.25">
      <c r="A11" s="1" t="s">
        <v>39</v>
      </c>
      <c r="B11" s="2">
        <v>32537</v>
      </c>
      <c r="C11" s="1" t="s">
        <v>67</v>
      </c>
      <c r="D11" s="1" t="s">
        <v>68</v>
      </c>
    </row>
    <row r="12" spans="1:4" ht="15.75" x14ac:dyDescent="0.25">
      <c r="A12" s="1" t="s">
        <v>41</v>
      </c>
      <c r="B12" s="2">
        <v>26551</v>
      </c>
      <c r="C12" s="1" t="s">
        <v>69</v>
      </c>
      <c r="D12" s="1" t="s">
        <v>68</v>
      </c>
    </row>
    <row r="13" spans="1:4" ht="15.75" x14ac:dyDescent="0.25">
      <c r="A13" s="1" t="s">
        <v>43</v>
      </c>
      <c r="B13" s="2">
        <v>25457</v>
      </c>
      <c r="C13" s="1" t="s">
        <v>15</v>
      </c>
      <c r="D13" s="1" t="s">
        <v>68</v>
      </c>
    </row>
    <row r="14" spans="1:4" ht="15.75" x14ac:dyDescent="0.25">
      <c r="A14" s="1" t="s">
        <v>48</v>
      </c>
      <c r="B14" s="2">
        <v>24041</v>
      </c>
      <c r="C14" s="1" t="s">
        <v>9</v>
      </c>
      <c r="D14" s="1" t="s">
        <v>90</v>
      </c>
    </row>
    <row r="15" spans="1:4" ht="15.75" x14ac:dyDescent="0.25">
      <c r="A15" s="1" t="s">
        <v>50</v>
      </c>
      <c r="B15" s="2">
        <v>30318</v>
      </c>
      <c r="C15" s="1" t="s">
        <v>70</v>
      </c>
      <c r="D15" s="1" t="s">
        <v>90</v>
      </c>
    </row>
    <row r="16" spans="1:4" ht="15.75" x14ac:dyDescent="0.25">
      <c r="A16" s="1" t="s">
        <v>52</v>
      </c>
      <c r="B16" s="2">
        <v>23463</v>
      </c>
      <c r="C16" s="1" t="s">
        <v>71</v>
      </c>
      <c r="D16" s="1" t="s">
        <v>90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B1665-CEDD-485C-B9C3-A5B17BE90471}">
  <sheetPr codeName="Foglio8">
    <tabColor theme="4"/>
  </sheetPr>
  <dimension ref="A1:C5"/>
  <sheetViews>
    <sheetView showGridLines="0" workbookViewId="0"/>
  </sheetViews>
  <sheetFormatPr defaultRowHeight="15" x14ac:dyDescent="0.25"/>
  <cols>
    <col min="1" max="1" width="10.140625" style="61" bestFit="1" customWidth="1"/>
    <col min="2" max="2" width="22.28515625" style="61" bestFit="1" customWidth="1"/>
    <col min="3" max="3" width="22.5703125" style="61" bestFit="1" customWidth="1"/>
    <col min="4" max="16384" width="9.140625" style="61"/>
  </cols>
  <sheetData>
    <row r="1" spans="1:3" x14ac:dyDescent="0.25">
      <c r="A1" s="5" t="s">
        <v>6</v>
      </c>
      <c r="B1" s="5" t="s">
        <v>72</v>
      </c>
      <c r="C1" s="5" t="s">
        <v>73</v>
      </c>
    </row>
    <row r="2" spans="1:3" x14ac:dyDescent="0.25">
      <c r="A2" s="5" t="s">
        <v>9</v>
      </c>
      <c r="B2" s="5" t="s">
        <v>74</v>
      </c>
      <c r="C2" s="6">
        <v>30</v>
      </c>
    </row>
    <row r="3" spans="1:3" x14ac:dyDescent="0.25">
      <c r="A3" s="5" t="s">
        <v>12</v>
      </c>
      <c r="B3" s="5" t="s">
        <v>75</v>
      </c>
      <c r="C3" s="6">
        <v>30</v>
      </c>
    </row>
    <row r="4" spans="1:3" x14ac:dyDescent="0.25">
      <c r="A4" s="5" t="s">
        <v>15</v>
      </c>
      <c r="B4" s="5" t="s">
        <v>76</v>
      </c>
      <c r="C4" s="6">
        <v>30</v>
      </c>
    </row>
    <row r="5" spans="1:3" x14ac:dyDescent="0.25">
      <c r="A5" s="5" t="s">
        <v>19</v>
      </c>
      <c r="B5" s="6" t="s">
        <v>77</v>
      </c>
      <c r="C5" s="6">
        <v>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EC1F3-12FA-47DA-AD38-E7D64C236137}">
  <sheetPr codeName="Foglio9">
    <tabColor rgb="FF002060"/>
  </sheetPr>
  <dimension ref="A1:A6"/>
  <sheetViews>
    <sheetView showGridLines="0" workbookViewId="0">
      <selection activeCell="A2" sqref="A2"/>
    </sheetView>
  </sheetViews>
  <sheetFormatPr defaultRowHeight="15" x14ac:dyDescent="0.25"/>
  <cols>
    <col min="1" max="1" width="16.5703125" style="61" bestFit="1" customWidth="1"/>
    <col min="2" max="16384" width="9.140625" style="61"/>
  </cols>
  <sheetData>
    <row r="1" spans="1:1" x14ac:dyDescent="0.25">
      <c r="A1" s="68" t="s">
        <v>88</v>
      </c>
    </row>
    <row r="2" spans="1:1" ht="15.75" x14ac:dyDescent="0.25">
      <c r="A2" s="69" t="s">
        <v>68</v>
      </c>
    </row>
    <row r="3" spans="1:1" ht="15.75" x14ac:dyDescent="0.25">
      <c r="A3" s="69" t="s">
        <v>89</v>
      </c>
    </row>
    <row r="4" spans="1:1" ht="15.75" x14ac:dyDescent="0.25">
      <c r="A4" s="70" t="s">
        <v>62</v>
      </c>
    </row>
    <row r="5" spans="1:1" ht="15.75" x14ac:dyDescent="0.25">
      <c r="A5" s="70" t="s">
        <v>65</v>
      </c>
    </row>
    <row r="6" spans="1:1" ht="15.75" x14ac:dyDescent="0.25">
      <c r="A6" s="70" t="s">
        <v>90</v>
      </c>
    </row>
  </sheetData>
  <autoFilter ref="A1:A32" xr:uid="{82FEC1F3-12FA-47DA-AD38-E7D64C236137}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567F37B6-1326-4734-BC7F-05FF5DF571EF}">
  <ds:schemaRefs/>
</ds:datastoreItem>
</file>

<file path=customXml/itemProps2.xml><?xml version="1.0" encoding="utf-8"?>
<ds:datastoreItem xmlns:ds="http://schemas.openxmlformats.org/officeDocument/2006/customXml" ds:itemID="{CEA3A1E4-815D-4F06-B508-F58A4E3D32BF}">
  <ds:schemaRefs/>
</ds:datastoreItem>
</file>

<file path=customXml/itemProps3.xml><?xml version="1.0" encoding="utf-8"?>
<ds:datastoreItem xmlns:ds="http://schemas.openxmlformats.org/officeDocument/2006/customXml" ds:itemID="{5F26E85B-CE98-4304-B83A-0DE3FCD1B1C9}">
  <ds:schemaRefs/>
</ds:datastoreItem>
</file>

<file path=customXml/itemProps4.xml><?xml version="1.0" encoding="utf-8"?>
<ds:datastoreItem xmlns:ds="http://schemas.openxmlformats.org/officeDocument/2006/customXml" ds:itemID="{84CDB40A-AAD4-47DE-B136-0B5219EA900A}">
  <ds:schemaRefs/>
</ds:datastoreItem>
</file>

<file path=customXml/itemProps5.xml><?xml version="1.0" encoding="utf-8"?>
<ds:datastoreItem xmlns:ds="http://schemas.openxmlformats.org/officeDocument/2006/customXml" ds:itemID="{F9235039-4DBF-4963-80A0-5548FAA7995A}">
  <ds:schemaRefs/>
</ds:datastoreItem>
</file>

<file path=customXml/itemProps6.xml><?xml version="1.0" encoding="utf-8"?>
<ds:datastoreItem xmlns:ds="http://schemas.openxmlformats.org/officeDocument/2006/customXml" ds:itemID="{30778515-6441-4236-80F6-51E783326C4A}">
  <ds:schemaRefs/>
</ds:datastoreItem>
</file>

<file path=customXml/itemProps7.xml><?xml version="1.0" encoding="utf-8"?>
<ds:datastoreItem xmlns:ds="http://schemas.openxmlformats.org/officeDocument/2006/customXml" ds:itemID="{6399C7B7-B990-4C32-A49D-AC443F4B9222}">
  <ds:schemaRefs/>
</ds:datastoreItem>
</file>

<file path=customXml/itemProps8.xml><?xml version="1.0" encoding="utf-8"?>
<ds:datastoreItem xmlns:ds="http://schemas.openxmlformats.org/officeDocument/2006/customXml" ds:itemID="{39E42EDC-57D7-45FA-8B8B-7B6737185D0E}">
  <ds:schemaRefs/>
</ds:datastoreItem>
</file>

<file path=customXml/itemProps9.xml><?xml version="1.0" encoding="utf-8"?>
<ds:datastoreItem xmlns:ds="http://schemas.openxmlformats.org/officeDocument/2006/customXml" ds:itemID="{C512478A-D222-44A1-9C35-7A6B85D60EFC}">
  <ds:schemaRefs/>
</ds:datastoreItem>
</file>

<file path=customXml/itemProps10.xml><?xml version="1.0" encoding="utf-8"?>
<ds:datastoreItem xmlns:ds="http://schemas.openxmlformats.org/officeDocument/2006/customXml" ds:itemID="{458CE497-A85F-401F-8AB7-ACFF1ABB280D}">
  <ds:schemaRefs/>
</ds:datastoreItem>
</file>

<file path=customXml/itemProps11.xml><?xml version="1.0" encoding="utf-8"?>
<ds:datastoreItem xmlns:ds="http://schemas.openxmlformats.org/officeDocument/2006/customXml" ds:itemID="{D32C5F80-3A36-4BB3-AEBA-85A4BBC61193}">
  <ds:schemaRefs/>
</ds:datastoreItem>
</file>

<file path=customXml/itemProps12.xml><?xml version="1.0" encoding="utf-8"?>
<ds:datastoreItem xmlns:ds="http://schemas.openxmlformats.org/officeDocument/2006/customXml" ds:itemID="{17FF96AA-F501-4063-89E7-DC81E5C94209}">
  <ds:schemaRefs/>
</ds:datastoreItem>
</file>

<file path=customXml/itemProps13.xml><?xml version="1.0" encoding="utf-8"?>
<ds:datastoreItem xmlns:ds="http://schemas.openxmlformats.org/officeDocument/2006/customXml" ds:itemID="{CD0962F4-6BF1-4B47-BF1D-3344D14F2AA2}">
  <ds:schemaRefs/>
</ds:datastoreItem>
</file>

<file path=customXml/itemProps14.xml><?xml version="1.0" encoding="utf-8"?>
<ds:datastoreItem xmlns:ds="http://schemas.openxmlformats.org/officeDocument/2006/customXml" ds:itemID="{45A2006F-B72C-4C3A-98C6-74CDB88A21B7}">
  <ds:schemaRefs/>
</ds:datastoreItem>
</file>

<file path=customXml/itemProps15.xml><?xml version="1.0" encoding="utf-8"?>
<ds:datastoreItem xmlns:ds="http://schemas.openxmlformats.org/officeDocument/2006/customXml" ds:itemID="{915F70EC-ACA0-462D-9113-26B8FA9586FA}">
  <ds:schemaRefs/>
</ds:datastoreItem>
</file>

<file path=customXml/itemProps16.xml><?xml version="1.0" encoding="utf-8"?>
<ds:datastoreItem xmlns:ds="http://schemas.openxmlformats.org/officeDocument/2006/customXml" ds:itemID="{DBF9C61B-30D2-4AEA-B7A4-5FA82AA1E9AB}">
  <ds:schemaRefs/>
</ds:datastoreItem>
</file>

<file path=customXml/itemProps17.xml><?xml version="1.0" encoding="utf-8"?>
<ds:datastoreItem xmlns:ds="http://schemas.openxmlformats.org/officeDocument/2006/customXml" ds:itemID="{648FF301-AD9A-4F23-90FA-3CC5D5AC809A}">
  <ds:schemaRefs/>
</ds:datastoreItem>
</file>

<file path=customXml/itemProps18.xml><?xml version="1.0" encoding="utf-8"?>
<ds:datastoreItem xmlns:ds="http://schemas.openxmlformats.org/officeDocument/2006/customXml" ds:itemID="{E464007F-D6B3-4671-BA28-6A3B8062701C}">
  <ds:schemaRefs/>
</ds:datastoreItem>
</file>

<file path=customXml/itemProps19.xml><?xml version="1.0" encoding="utf-8"?>
<ds:datastoreItem xmlns:ds="http://schemas.openxmlformats.org/officeDocument/2006/customXml" ds:itemID="{04435BD2-BB92-4CC1-8C31-83B1338C886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6</vt:i4>
      </vt:variant>
    </vt:vector>
  </HeadingPairs>
  <TitlesOfParts>
    <vt:vector size="16" baseType="lpstr">
      <vt:lpstr>HOME</vt:lpstr>
      <vt:lpstr>INSERIMENTO</vt:lpstr>
      <vt:lpstr>RICERCA</vt:lpstr>
      <vt:lpstr>PROSPETTO CORSI</vt:lpstr>
      <vt:lpstr>ANALISI</vt:lpstr>
      <vt:lpstr>DASHBOARD</vt:lpstr>
      <vt:lpstr>PRINCIPALE</vt:lpstr>
      <vt:lpstr>DOCENTI</vt:lpstr>
      <vt:lpstr>SEDI</vt:lpstr>
      <vt:lpstr>MATERIE</vt:lpstr>
      <vt:lpstr>CITTA__RESIDENZA</vt:lpstr>
      <vt:lpstr>DATA_DI_NASCITA</vt:lpstr>
      <vt:lpstr>ID_CORSO</vt:lpstr>
      <vt:lpstr>MATERIA</vt:lpstr>
      <vt:lpstr>Materie</vt:lpstr>
      <vt:lpstr>NOME_E_COGNOME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Vincenzo Giacalone Biondo</dc:creator>
  <cp:lastModifiedBy>Gabriele Antonino Pellegrino</cp:lastModifiedBy>
  <dcterms:created xsi:type="dcterms:W3CDTF">2023-03-30T08:32:03Z</dcterms:created>
  <dcterms:modified xsi:type="dcterms:W3CDTF">2023-03-31T15:37:34Z</dcterms:modified>
</cp:coreProperties>
</file>